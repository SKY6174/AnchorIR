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wnloads/260617/"/>
    </mc:Choice>
  </mc:AlternateContent>
  <xr:revisionPtr revIDLastSave="0" documentId="13_ncr:1_{FDDE5F10-93AD-AA4A-9E68-9E7673BD7E8B}" xr6:coauthVersionLast="47" xr6:coauthVersionMax="47" xr10:uidLastSave="{00000000-0000-0000-0000-000000000000}"/>
  <bookViews>
    <workbookView xWindow="0" yWindow="660" windowWidth="30240" windowHeight="18040" activeTab="1" xr2:uid="{00000000-000D-0000-FFFF-FFFF00000000}"/>
  </bookViews>
  <sheets>
    <sheet name="A1-가" sheetId="9" r:id="rId1"/>
    <sheet name="A1-나" sheetId="27" r:id="rId2"/>
    <sheet name="A2" sheetId="10" r:id="rId3"/>
    <sheet name="A3" sheetId="11" r:id="rId4"/>
    <sheet name="B1" sheetId="18" r:id="rId5"/>
    <sheet name="B2" sheetId="19" r:id="rId6"/>
    <sheet name="B3" sheetId="20" r:id="rId7"/>
    <sheet name="B4" sheetId="21" r:id="rId8"/>
    <sheet name="C1" sheetId="22" r:id="rId9"/>
    <sheet name="C2" sheetId="23" r:id="rId10"/>
    <sheet name="D1" sheetId="24" r:id="rId11"/>
    <sheet name="D2" sheetId="25" r:id="rId12"/>
    <sheet name="D3" sheetId="26" r:id="rId13"/>
  </sheets>
  <definedNames>
    <definedName name="_xlnm.Print_Area" localSheetId="0">'A1-가'!$A$1:$R$41</definedName>
    <definedName name="_xlnm.Print_Area" localSheetId="8">'C1'!$A$1:$R$30</definedName>
    <definedName name="_xlnm.Print_Area" localSheetId="10">'D1'!$A$1:$S$30</definedName>
    <definedName name="_xlnm.Print_Area" localSheetId="12">'D3'!$A$1:$S$39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1" l="1"/>
  <c r="K9" i="11"/>
  <c r="P40" i="27"/>
  <c r="Q40" i="27" s="1"/>
  <c r="O40" i="27"/>
  <c r="J40" i="27"/>
  <c r="I40" i="27"/>
  <c r="K40" i="27" s="1"/>
  <c r="S39" i="27"/>
  <c r="Q39" i="27"/>
  <c r="K39" i="27"/>
  <c r="S38" i="27"/>
  <c r="Q38" i="27"/>
  <c r="K38" i="27"/>
  <c r="S37" i="27"/>
  <c r="Q37" i="27"/>
  <c r="K37" i="27"/>
  <c r="S36" i="27"/>
  <c r="Q36" i="27"/>
  <c r="K36" i="27"/>
  <c r="S35" i="27"/>
  <c r="Q35" i="27"/>
  <c r="K35" i="27"/>
  <c r="S34" i="27"/>
  <c r="Q34" i="27"/>
  <c r="K34" i="27"/>
  <c r="S33" i="27"/>
  <c r="Q33" i="27"/>
  <c r="K33" i="27"/>
  <c r="S32" i="27"/>
  <c r="Q32" i="27"/>
  <c r="K32" i="27"/>
  <c r="S31" i="27"/>
  <c r="Q31" i="27"/>
  <c r="K31" i="27"/>
  <c r="S30" i="27"/>
  <c r="Q30" i="27"/>
  <c r="K30" i="27"/>
  <c r="S29" i="27"/>
  <c r="Q29" i="27"/>
  <c r="K29" i="27"/>
  <c r="S28" i="27"/>
  <c r="Q28" i="27"/>
  <c r="K28" i="27"/>
  <c r="S27" i="27"/>
  <c r="Q27" i="27"/>
  <c r="K27" i="27"/>
  <c r="S26" i="27"/>
  <c r="Q26" i="27"/>
  <c r="K26" i="27"/>
  <c r="S25" i="27"/>
  <c r="Q25" i="27"/>
  <c r="K25" i="27"/>
  <c r="S24" i="27"/>
  <c r="Q24" i="27"/>
  <c r="K24" i="27"/>
  <c r="S23" i="27"/>
  <c r="Q23" i="27"/>
  <c r="K23" i="27"/>
  <c r="S22" i="27"/>
  <c r="Q22" i="27"/>
  <c r="K22" i="27"/>
  <c r="S21" i="27"/>
  <c r="Q21" i="27"/>
  <c r="K21" i="27"/>
  <c r="S20" i="27"/>
  <c r="Q20" i="27"/>
  <c r="K20" i="27"/>
  <c r="S19" i="27"/>
  <c r="Q19" i="27"/>
  <c r="K19" i="27"/>
  <c r="K18" i="27"/>
  <c r="S17" i="27"/>
  <c r="Q17" i="27"/>
  <c r="K17" i="27"/>
  <c r="S16" i="27"/>
  <c r="Q16" i="27"/>
  <c r="K16" i="27"/>
  <c r="S15" i="27"/>
  <c r="Q15" i="27"/>
  <c r="K15" i="27"/>
  <c r="S14" i="27"/>
  <c r="Q14" i="27"/>
  <c r="K14" i="27"/>
  <c r="S13" i="27"/>
  <c r="Q13" i="27"/>
  <c r="K13" i="27"/>
  <c r="S12" i="27"/>
  <c r="Q12" i="27"/>
  <c r="K12" i="27"/>
  <c r="S11" i="27"/>
  <c r="Q11" i="27"/>
  <c r="K11" i="27"/>
  <c r="S10" i="27"/>
  <c r="Q10" i="27"/>
  <c r="K10" i="27"/>
  <c r="S9" i="27"/>
  <c r="Q9" i="27"/>
  <c r="K9" i="27"/>
  <c r="S8" i="27"/>
  <c r="Q8" i="27"/>
  <c r="K8" i="27"/>
  <c r="S7" i="27"/>
  <c r="Q7" i="27"/>
  <c r="K7" i="27"/>
  <c r="S6" i="27"/>
  <c r="Q6" i="27"/>
  <c r="K6" i="27"/>
  <c r="S5" i="27"/>
  <c r="Q5" i="27"/>
  <c r="K5" i="27"/>
  <c r="S4" i="27"/>
  <c r="Q4" i="27"/>
  <c r="K4" i="27"/>
  <c r="S3" i="27"/>
  <c r="S40" i="27" s="1"/>
  <c r="Q3" i="27"/>
  <c r="K3" i="27"/>
  <c r="S29" i="26"/>
  <c r="P29" i="26"/>
  <c r="Q29" i="26" s="1"/>
  <c r="O29" i="26"/>
  <c r="O36" i="26" s="1"/>
  <c r="J29" i="26"/>
  <c r="K29" i="26" s="1"/>
  <c r="I29" i="26"/>
  <c r="K28" i="26"/>
  <c r="K24" i="26"/>
  <c r="K18" i="26"/>
  <c r="K17" i="26"/>
  <c r="K16" i="26"/>
  <c r="K15" i="26"/>
  <c r="K13" i="26"/>
  <c r="K12" i="26"/>
  <c r="K9" i="26"/>
  <c r="K8" i="26"/>
  <c r="K6" i="26"/>
  <c r="K3" i="26"/>
  <c r="O22" i="25"/>
  <c r="R21" i="25"/>
  <c r="Q17" i="25"/>
  <c r="R20" i="25" s="1"/>
  <c r="P17" i="25"/>
  <c r="J17" i="25"/>
  <c r="I17" i="25"/>
  <c r="K17" i="25" s="1"/>
  <c r="Q16" i="25"/>
  <c r="K16" i="25"/>
  <c r="K15" i="25"/>
  <c r="K14" i="25"/>
  <c r="Q13" i="25"/>
  <c r="K13" i="25"/>
  <c r="K12" i="25"/>
  <c r="K11" i="25"/>
  <c r="K10" i="25"/>
  <c r="K9" i="25"/>
  <c r="K8" i="25"/>
  <c r="K7" i="25"/>
  <c r="Q6" i="25"/>
  <c r="K6" i="25"/>
  <c r="K5" i="25"/>
  <c r="Q4" i="25"/>
  <c r="K4" i="25"/>
  <c r="K3" i="25"/>
  <c r="S23" i="24"/>
  <c r="S29" i="24" s="1"/>
  <c r="P23" i="24"/>
  <c r="Q23" i="24" s="1"/>
  <c r="O23" i="24"/>
  <c r="O29" i="24" s="1"/>
  <c r="J23" i="24"/>
  <c r="K23" i="24" s="1"/>
  <c r="I23" i="24"/>
  <c r="Q22" i="24"/>
  <c r="K22" i="24"/>
  <c r="Q21" i="24"/>
  <c r="K21" i="24"/>
  <c r="Q20" i="24"/>
  <c r="K20" i="24"/>
  <c r="Q19" i="24"/>
  <c r="K19" i="24"/>
  <c r="Q18" i="24"/>
  <c r="K18" i="24"/>
  <c r="Q17" i="24"/>
  <c r="K17" i="24"/>
  <c r="Q16" i="24"/>
  <c r="K16" i="24"/>
  <c r="Q15" i="24"/>
  <c r="K15" i="24"/>
  <c r="Q14" i="24"/>
  <c r="K14" i="24"/>
  <c r="Q13" i="24"/>
  <c r="K13" i="24"/>
  <c r="Q12" i="24"/>
  <c r="K12" i="24"/>
  <c r="Q11" i="24"/>
  <c r="K11" i="24"/>
  <c r="Q10" i="24"/>
  <c r="K10" i="24"/>
  <c r="Q9" i="24"/>
  <c r="K9" i="24"/>
  <c r="Q8" i="24"/>
  <c r="K8" i="24"/>
  <c r="Q7" i="24"/>
  <c r="K7" i="24"/>
  <c r="Q6" i="24"/>
  <c r="K6" i="24"/>
  <c r="Q5" i="24"/>
  <c r="K5" i="24"/>
  <c r="Q4" i="24"/>
  <c r="K4" i="24"/>
  <c r="Q3" i="24"/>
  <c r="K3" i="24"/>
  <c r="N24" i="23"/>
  <c r="Q20" i="23"/>
  <c r="N20" i="23"/>
  <c r="O20" i="23" s="1"/>
  <c r="M20" i="23"/>
  <c r="M24" i="23" s="1"/>
  <c r="J20" i="23"/>
  <c r="I20" i="23"/>
  <c r="H20" i="23"/>
  <c r="G20" i="23"/>
  <c r="O14" i="23"/>
  <c r="O11" i="23"/>
  <c r="O5" i="23"/>
  <c r="O4" i="23"/>
  <c r="R24" i="22"/>
  <c r="R30" i="22" s="1"/>
  <c r="O24" i="22"/>
  <c r="P24" i="22" s="1"/>
  <c r="N24" i="22"/>
  <c r="N30" i="22" s="1"/>
  <c r="J24" i="22"/>
  <c r="K24" i="22" s="1"/>
  <c r="P23" i="22"/>
  <c r="K23" i="22"/>
  <c r="P22" i="22"/>
  <c r="K22" i="22"/>
  <c r="K21" i="22"/>
  <c r="P20" i="22"/>
  <c r="K20" i="22"/>
  <c r="P19" i="22"/>
  <c r="K19" i="22"/>
  <c r="K18" i="22"/>
  <c r="P17" i="22"/>
  <c r="K17" i="22"/>
  <c r="P16" i="22"/>
  <c r="K16" i="22"/>
  <c r="K15" i="22"/>
  <c r="K14" i="22"/>
  <c r="K13" i="22"/>
  <c r="K12" i="22"/>
  <c r="K11" i="22"/>
  <c r="K10" i="22"/>
  <c r="K9" i="22"/>
  <c r="K6" i="22"/>
  <c r="K5" i="22"/>
  <c r="P4" i="22"/>
  <c r="K4" i="22"/>
  <c r="P3" i="22"/>
  <c r="K3" i="22"/>
  <c r="K29" i="21"/>
  <c r="K28" i="21"/>
  <c r="K27" i="21"/>
  <c r="K26" i="21"/>
  <c r="K25" i="21"/>
  <c r="K24" i="21"/>
  <c r="J23" i="21"/>
  <c r="I23" i="21"/>
  <c r="K23" i="21" s="1"/>
  <c r="K21" i="21"/>
  <c r="K20" i="21"/>
  <c r="K19" i="21"/>
  <c r="O18" i="21"/>
  <c r="K18" i="21"/>
  <c r="K17" i="21"/>
  <c r="O16" i="21"/>
  <c r="K16" i="21"/>
  <c r="K15" i="21"/>
  <c r="K14" i="21"/>
  <c r="O13" i="21"/>
  <c r="O1" i="21" s="1"/>
  <c r="K13" i="21"/>
  <c r="K12" i="21"/>
  <c r="K11" i="21"/>
  <c r="K10" i="21"/>
  <c r="O9" i="21"/>
  <c r="K8" i="21"/>
  <c r="K7" i="21"/>
  <c r="O6" i="21"/>
  <c r="K6" i="21"/>
  <c r="K5" i="21"/>
  <c r="O4" i="21"/>
  <c r="J4" i="21"/>
  <c r="K4" i="21" s="1"/>
  <c r="J3" i="21"/>
  <c r="K3" i="21" s="1"/>
  <c r="K1" i="21" s="1"/>
  <c r="J1" i="21"/>
  <c r="I1" i="21"/>
  <c r="K27" i="20"/>
  <c r="K26" i="20"/>
  <c r="K25" i="20"/>
  <c r="J24" i="20"/>
  <c r="I24" i="20"/>
  <c r="K24" i="20" s="1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K9" i="20"/>
  <c r="K8" i="20"/>
  <c r="K7" i="20"/>
  <c r="K6" i="20"/>
  <c r="K5" i="20"/>
  <c r="K4" i="20"/>
  <c r="K3" i="20"/>
  <c r="O1" i="20"/>
  <c r="P1" i="20" s="1"/>
  <c r="K1" i="20"/>
  <c r="J1" i="20"/>
  <c r="I1" i="20"/>
  <c r="O22" i="19"/>
  <c r="J22" i="19"/>
  <c r="I22" i="19"/>
  <c r="I19" i="19"/>
  <c r="I18" i="19"/>
  <c r="J17" i="19"/>
  <c r="I17" i="19"/>
  <c r="I16" i="19"/>
  <c r="J15" i="19"/>
  <c r="I15" i="19"/>
  <c r="I14" i="19"/>
  <c r="I11" i="19"/>
  <c r="I9" i="19"/>
  <c r="I5" i="19"/>
  <c r="I4" i="19"/>
  <c r="I3" i="19"/>
  <c r="I29" i="18"/>
  <c r="K27" i="18"/>
  <c r="J26" i="18"/>
  <c r="K26" i="18" s="1"/>
  <c r="K25" i="18"/>
  <c r="K24" i="18"/>
  <c r="K23" i="18"/>
  <c r="J22" i="18"/>
  <c r="I22" i="18"/>
  <c r="K22" i="18" s="1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O1" i="18"/>
  <c r="K1" i="18"/>
  <c r="J1" i="18"/>
  <c r="I1" i="18"/>
  <c r="Q15" i="9"/>
  <c r="K20" i="10"/>
  <c r="K19" i="10"/>
  <c r="K18" i="10"/>
  <c r="K23" i="10"/>
  <c r="K24" i="10"/>
  <c r="K25" i="10"/>
  <c r="I41" i="9"/>
  <c r="K20" i="9"/>
  <c r="X10" i="9"/>
  <c r="K35" i="9"/>
  <c r="K34" i="9"/>
  <c r="K33" i="9"/>
  <c r="K7" i="9"/>
  <c r="K4" i="9"/>
  <c r="Q14" i="9"/>
  <c r="S22" i="9"/>
  <c r="Q22" i="9"/>
  <c r="K22" i="9"/>
  <c r="P20" i="25" l="1"/>
  <c r="P22" i="25" s="1"/>
  <c r="R22" i="25" s="1"/>
  <c r="Q20" i="25"/>
  <c r="J18" i="11"/>
  <c r="K3" i="11"/>
  <c r="K4" i="11"/>
  <c r="K5" i="11"/>
  <c r="K7" i="11"/>
  <c r="K8" i="11"/>
  <c r="K10" i="11"/>
  <c r="K11" i="11"/>
  <c r="K12" i="11"/>
  <c r="K13" i="11"/>
  <c r="K14" i="11"/>
  <c r="K15" i="11"/>
  <c r="K17" i="11"/>
  <c r="K3" i="10"/>
  <c r="K4" i="10"/>
  <c r="K5" i="10"/>
  <c r="K8" i="10"/>
  <c r="K9" i="10"/>
  <c r="K10" i="10"/>
  <c r="K11" i="10"/>
  <c r="K12" i="10"/>
  <c r="K13" i="10"/>
  <c r="K14" i="10"/>
  <c r="K15" i="10"/>
  <c r="K16" i="10"/>
  <c r="K17" i="10"/>
  <c r="K21" i="10"/>
  <c r="K22" i="10"/>
  <c r="J27" i="10"/>
  <c r="K3" i="9"/>
  <c r="K5" i="9"/>
  <c r="K6" i="9"/>
  <c r="K8" i="9"/>
  <c r="K9" i="9"/>
  <c r="K10" i="9"/>
  <c r="K12" i="9"/>
  <c r="K13" i="9"/>
  <c r="K14" i="9"/>
  <c r="K15" i="9"/>
  <c r="K16" i="9"/>
  <c r="K17" i="9"/>
  <c r="K18" i="9"/>
  <c r="K19" i="9"/>
  <c r="K21" i="9"/>
  <c r="K23" i="9"/>
  <c r="K24" i="9"/>
  <c r="K25" i="9"/>
  <c r="K26" i="9"/>
  <c r="K27" i="9"/>
  <c r="K28" i="9"/>
  <c r="K30" i="9"/>
  <c r="K31" i="9"/>
  <c r="K32" i="9"/>
  <c r="K38" i="9"/>
  <c r="Q13" i="11"/>
  <c r="Q10" i="11"/>
  <c r="Q8" i="11"/>
  <c r="Q4" i="11"/>
  <c r="Q3" i="11"/>
  <c r="Q22" i="10"/>
  <c r="Q8" i="10"/>
  <c r="Q38" i="9"/>
  <c r="Q35" i="9"/>
  <c r="Q34" i="9"/>
  <c r="Q33" i="9"/>
  <c r="Q25" i="9"/>
  <c r="Q24" i="9"/>
  <c r="Q21" i="9"/>
  <c r="Q13" i="9"/>
  <c r="Q8" i="9"/>
  <c r="J39" i="9"/>
  <c r="K39" i="9" s="1"/>
  <c r="P18" i="11"/>
  <c r="O18" i="11"/>
  <c r="S13" i="11"/>
  <c r="S10" i="11"/>
  <c r="S8" i="11"/>
  <c r="S4" i="11"/>
  <c r="S3" i="11"/>
  <c r="S22" i="10"/>
  <c r="S8" i="10"/>
  <c r="S8" i="9"/>
  <c r="S13" i="9"/>
  <c r="S21" i="9"/>
  <c r="S24" i="9"/>
  <c r="S25" i="9"/>
  <c r="S33" i="9"/>
  <c r="S34" i="9"/>
  <c r="S35" i="9"/>
  <c r="P27" i="10"/>
  <c r="O27" i="10"/>
  <c r="P39" i="9"/>
  <c r="O39" i="9"/>
  <c r="Q18" i="11" l="1"/>
  <c r="S27" i="10"/>
  <c r="Q27" i="10"/>
  <c r="Q39" i="9"/>
  <c r="S18" i="11"/>
  <c r="S38" i="9"/>
  <c r="O42" i="9"/>
  <c r="I18" i="11" l="1"/>
  <c r="K18" i="11" s="1"/>
  <c r="I27" i="10"/>
  <c r="K27" i="10" s="1"/>
  <c r="V26" i="9"/>
  <c r="W26" i="9" s="1"/>
  <c r="V25" i="9"/>
  <c r="V23" i="9"/>
  <c r="W23" i="9" s="1"/>
  <c r="V21" i="9"/>
  <c r="Y21" i="9" s="1"/>
  <c r="Z21" i="9" s="1"/>
  <c r="Y25" i="9" l="1"/>
  <c r="Z25" i="9" s="1"/>
  <c r="W21" i="9"/>
  <c r="W2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tc={AC95D06A-43F6-9448-A465-D4FF587D3A6F}</author>
    <author>tc={638C3933-8AE0-6647-AE10-B0116B712A3E}</author>
  </authors>
  <commentList>
    <comment ref="O2" authorId="0" shapeId="0" xr:uid="{AC95D06A-43F6-9448-A465-D4FF587D3A6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이월금 예산</t>
      </text>
    </comment>
    <comment ref="S2" authorId="1" shapeId="0" xr:uid="{638C3933-8AE0-6647-AE10-B0116B712A3E}">
      <text>
        <t>[Threaded comment]
Your version of Excel allows you to read this threaded comment; however, any edits to it will get removed if the file is opened in a newer version of Excel. Learn more: https://go.microsoft.com/fwlink/?linkid=870924
Comment:
    본사업비 집행금액(25' 2월)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20" authorId="0" shapeId="0" xr:uid="{6797B0A7-EB89-3E40-8715-571C0A814B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2026. 5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재편성
</t>
        </r>
        <r>
          <rPr>
            <sz val="9"/>
            <color indexed="81"/>
            <rFont val="Tahoma"/>
            <family val="2"/>
          </rPr>
          <t>B3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거버넌스</t>
        </r>
        <r>
          <rPr>
            <sz val="9"/>
            <color indexed="81"/>
            <rFont val="Tahoma"/>
            <family val="2"/>
          </rPr>
          <t xml:space="preserve"> 200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<sst xmlns="http://schemas.openxmlformats.org/spreadsheetml/2006/main" count="3375" uniqueCount="1176">
  <si>
    <t>울산과학대학교 RISE 추진전략</t>
    <phoneticPr fontId="2" type="noConversion"/>
  </si>
  <si>
    <t>울산과학대학교 RISE 추진과제</t>
    <phoneticPr fontId="2" type="noConversion"/>
  </si>
  <si>
    <t>S1</t>
  </si>
  <si>
    <t>P1</t>
  </si>
  <si>
    <t>P2</t>
  </si>
  <si>
    <t>S2</t>
  </si>
  <si>
    <t>P5</t>
  </si>
  <si>
    <t>P6</t>
  </si>
  <si>
    <t>S4</t>
  </si>
  <si>
    <t>P7</t>
  </si>
  <si>
    <t>P8</t>
  </si>
  <si>
    <t>AP1</t>
    <phoneticPr fontId="2" type="noConversion"/>
  </si>
  <si>
    <t>AP2</t>
    <phoneticPr fontId="2" type="noConversion"/>
  </si>
  <si>
    <t>울산과학대학교 RISE Action Plan</t>
    <phoneticPr fontId="2" type="noConversion"/>
  </si>
  <si>
    <t>AP3</t>
    <phoneticPr fontId="2" type="noConversion"/>
  </si>
  <si>
    <t>AP4</t>
    <phoneticPr fontId="2" type="noConversion"/>
  </si>
  <si>
    <t>AP5</t>
    <phoneticPr fontId="2" type="noConversion"/>
  </si>
  <si>
    <t>AP6</t>
    <phoneticPr fontId="2" type="noConversion"/>
  </si>
  <si>
    <t>AP7</t>
    <phoneticPr fontId="2" type="noConversion"/>
  </si>
  <si>
    <t>AP8</t>
    <phoneticPr fontId="2" type="noConversion"/>
  </si>
  <si>
    <t>AP9</t>
    <phoneticPr fontId="2" type="noConversion"/>
  </si>
  <si>
    <t>AP10</t>
    <phoneticPr fontId="2" type="noConversion"/>
  </si>
  <si>
    <t>AP11</t>
    <phoneticPr fontId="2" type="noConversion"/>
  </si>
  <si>
    <t>AP12</t>
    <phoneticPr fontId="2" type="noConversion"/>
  </si>
  <si>
    <t>AP13</t>
    <phoneticPr fontId="2" type="noConversion"/>
  </si>
  <si>
    <t>AP14</t>
    <phoneticPr fontId="2" type="noConversion"/>
  </si>
  <si>
    <t>S3</t>
    <phoneticPr fontId="2" type="noConversion"/>
  </si>
  <si>
    <t>전략코드</t>
  </si>
  <si>
    <t>프로젝트코드</t>
  </si>
  <si>
    <t>액션플랜코드</t>
  </si>
  <si>
    <t>프로그램코드</t>
  </si>
  <si>
    <t>프로그램(2차년도 예산 기준)</t>
  </si>
  <si>
    <t>프로그램(1차년도 기준)</t>
  </si>
  <si>
    <t>사업비(1차년도 집행 기준) 
(단위:천원)</t>
  </si>
  <si>
    <t>담당자(예정)</t>
  </si>
  <si>
    <t>담당자</t>
  </si>
  <si>
    <t>AP1a</t>
  </si>
  <si>
    <t>AP1b</t>
  </si>
  <si>
    <t>AP1c</t>
  </si>
  <si>
    <t>AP2a</t>
    <phoneticPr fontId="2" type="noConversion"/>
  </si>
  <si>
    <t>AP2b</t>
    <phoneticPr fontId="2" type="noConversion"/>
  </si>
  <si>
    <t>P1</t>
    <phoneticPr fontId="2" type="noConversion"/>
  </si>
  <si>
    <t>S1</t>
    <phoneticPr fontId="2" type="noConversion"/>
  </si>
  <si>
    <t>AP2c</t>
    <phoneticPr fontId="2" type="noConversion"/>
  </si>
  <si>
    <t>AP3a</t>
    <phoneticPr fontId="2" type="noConversion"/>
  </si>
  <si>
    <t>AP3b</t>
    <phoneticPr fontId="2" type="noConversion"/>
  </si>
  <si>
    <t>P2</t>
    <phoneticPr fontId="2" type="noConversion"/>
  </si>
  <si>
    <t>AP4a</t>
    <phoneticPr fontId="2" type="noConversion"/>
  </si>
  <si>
    <t>AP4b</t>
    <phoneticPr fontId="2" type="noConversion"/>
  </si>
  <si>
    <t>AP4c</t>
    <phoneticPr fontId="2" type="noConversion"/>
  </si>
  <si>
    <t>방과후 늘봄 프로그램 개발 및 시범운영</t>
    <phoneticPr fontId="2" type="noConversion"/>
  </si>
  <si>
    <t>방학 늘봄 서비스 모델 다양화</t>
    <phoneticPr fontId="2" type="noConversion"/>
  </si>
  <si>
    <t>동남권 협력 체계 구축 및 네트워크 형성</t>
    <phoneticPr fontId="2" type="noConversion"/>
  </si>
  <si>
    <t>동남권 유관기관 및 산업체 협력 네트워크 구축</t>
    <phoneticPr fontId="2" type="noConversion"/>
  </si>
  <si>
    <t>P3</t>
    <phoneticPr fontId="2" type="noConversion"/>
  </si>
  <si>
    <t>품질관리·성과관리 체계 구축(운영 내실화)</t>
    <phoneticPr fontId="2" type="noConversion"/>
  </si>
  <si>
    <t>성과확산·브랜딩 체계 구축(대외 확산)</t>
    <phoneticPr fontId="2" type="noConversion"/>
  </si>
  <si>
    <t>동남권 지역 기반 특화 프로그램 패키지 개발·적용(현장 확산형)</t>
    <phoneticPr fontId="2" type="noConversion"/>
  </si>
  <si>
    <t>대학 기반 특성화 프로그램 개발·운영(전문역량형)</t>
    <phoneticPr fontId="2" type="noConversion"/>
  </si>
  <si>
    <t>P4</t>
    <phoneticPr fontId="2" type="noConversion"/>
  </si>
  <si>
    <t>S2</t>
    <phoneticPr fontId="2" type="noConversion"/>
  </si>
  <si>
    <t>S4</t>
    <phoneticPr fontId="2" type="noConversion"/>
  </si>
  <si>
    <t>P5</t>
    <phoneticPr fontId="2" type="noConversion"/>
  </si>
  <si>
    <t>P6</t>
    <phoneticPr fontId="2" type="noConversion"/>
  </si>
  <si>
    <t>P7</t>
    <phoneticPr fontId="2" type="noConversion"/>
  </si>
  <si>
    <t>P8</t>
    <phoneticPr fontId="2" type="noConversion"/>
  </si>
  <si>
    <t>S3</t>
  </si>
  <si>
    <t>AP5a</t>
    <phoneticPr fontId="2" type="noConversion"/>
  </si>
  <si>
    <t>AP5b</t>
    <phoneticPr fontId="2" type="noConversion"/>
  </si>
  <si>
    <t>AP6a</t>
    <phoneticPr fontId="2" type="noConversion"/>
  </si>
  <si>
    <t>AP6b</t>
    <phoneticPr fontId="2" type="noConversion"/>
  </si>
  <si>
    <t>AP6c</t>
    <phoneticPr fontId="2" type="noConversion"/>
  </si>
  <si>
    <t>AP7a</t>
    <phoneticPr fontId="2" type="noConversion"/>
  </si>
  <si>
    <t>AP7b</t>
    <phoneticPr fontId="2" type="noConversion"/>
  </si>
  <si>
    <t>AP8a</t>
    <phoneticPr fontId="2" type="noConversion"/>
  </si>
  <si>
    <t>AP8b</t>
    <phoneticPr fontId="2" type="noConversion"/>
  </si>
  <si>
    <t>AP8c</t>
    <phoneticPr fontId="2" type="noConversion"/>
  </si>
  <si>
    <t>AP9a</t>
    <phoneticPr fontId="2" type="noConversion"/>
  </si>
  <si>
    <t>AP9b</t>
    <phoneticPr fontId="2" type="noConversion"/>
  </si>
  <si>
    <t>AP9c</t>
    <phoneticPr fontId="2" type="noConversion"/>
  </si>
  <si>
    <t>AP10a</t>
    <phoneticPr fontId="2" type="noConversion"/>
  </si>
  <si>
    <t>AP10b</t>
    <phoneticPr fontId="2" type="noConversion"/>
  </si>
  <si>
    <t>AP10c</t>
    <phoneticPr fontId="2" type="noConversion"/>
  </si>
  <si>
    <t>AP11a</t>
    <phoneticPr fontId="2" type="noConversion"/>
  </si>
  <si>
    <t>AP11c</t>
    <phoneticPr fontId="2" type="noConversion"/>
  </si>
  <si>
    <t>AP12a</t>
    <phoneticPr fontId="2" type="noConversion"/>
  </si>
  <si>
    <t>AP12b</t>
    <phoneticPr fontId="2" type="noConversion"/>
  </si>
  <si>
    <t>AP12c</t>
    <phoneticPr fontId="2" type="noConversion"/>
  </si>
  <si>
    <t>AP13a</t>
    <phoneticPr fontId="2" type="noConversion"/>
  </si>
  <si>
    <t>AP13b</t>
    <phoneticPr fontId="2" type="noConversion"/>
  </si>
  <si>
    <t>AP13c</t>
    <phoneticPr fontId="2" type="noConversion"/>
  </si>
  <si>
    <t>AP14a</t>
    <phoneticPr fontId="2" type="noConversion"/>
  </si>
  <si>
    <t>AP14c</t>
    <phoneticPr fontId="2" type="noConversion"/>
  </si>
  <si>
    <t>AP15a</t>
    <phoneticPr fontId="2" type="noConversion"/>
  </si>
  <si>
    <t>AP15b</t>
    <phoneticPr fontId="2" type="noConversion"/>
  </si>
  <si>
    <t>AP15c</t>
    <phoneticPr fontId="2" type="noConversion"/>
  </si>
  <si>
    <t>AP16b</t>
    <phoneticPr fontId="2" type="noConversion"/>
  </si>
  <si>
    <t>동남권 수요 기반 운영 모델 표준화</t>
    <phoneticPr fontId="2" type="noConversion"/>
  </si>
  <si>
    <t>산·학·연·관 네트워크 통합운영</t>
    <phoneticPr fontId="2" type="noConversion"/>
  </si>
  <si>
    <t>비고</t>
    <phoneticPr fontId="2" type="noConversion"/>
  </si>
  <si>
    <t>강사양성과정</t>
    <phoneticPr fontId="2" type="noConversion"/>
  </si>
  <si>
    <t>정책연구</t>
    <phoneticPr fontId="2" type="noConversion"/>
  </si>
  <si>
    <t>교육환경개선</t>
    <phoneticPr fontId="2" type="noConversion"/>
  </si>
  <si>
    <t>성과공유회</t>
    <phoneticPr fontId="2" type="noConversion"/>
  </si>
  <si>
    <t>벤치마킹</t>
    <phoneticPr fontId="2" type="noConversion"/>
  </si>
  <si>
    <t>울산 특화형 평생·직업교육 거점센터 기능 고도화 및 다양화</t>
  </si>
  <si>
    <t>　</t>
  </si>
  <si>
    <t>지역산업 연계형 자격기반 평생직업교육 모델 개발 및 운영</t>
  </si>
  <si>
    <t>P3</t>
  </si>
  <si>
    <t>P4</t>
  </si>
  <si>
    <t>지역산업의 인력수요 대응형 평생직업교육 운영 및 협력체계 확장</t>
  </si>
  <si>
    <t>울산 평생직업교육 거점센터 기능 실질화 및 연계성과 창출</t>
  </si>
  <si>
    <t>지역 평생직업교육 거점센터 기능 확대</t>
  </si>
  <si>
    <t>지자체·산업체·유관기관 협력 기반 교육–자격–취업 연계 실질화</t>
  </si>
  <si>
    <t>AI 기반 평생직업교육 통합 플랫폼 고도화 및 활용 확산</t>
  </si>
  <si>
    <t>생애주기 연계형 직무역량 강화 및 취·창업 연계 트랙 운영</t>
  </si>
  <si>
    <t>성인학습자 확대를 위한 산업체 연계 실무중심 교육과정 확대</t>
  </si>
  <si>
    <t>주력·신산업 연계 직무전환 및 인재양성 체계 고도화</t>
  </si>
  <si>
    <t>지역 중소기업 인력해소를 위한 협력형 맞춤 평생 직업교육 프로그램 확대</t>
  </si>
  <si>
    <t>AP2</t>
  </si>
  <si>
    <t>AP3</t>
  </si>
  <si>
    <t>AP4</t>
  </si>
  <si>
    <t>AP5</t>
  </si>
  <si>
    <t>AP6</t>
  </si>
  <si>
    <t>AP7</t>
  </si>
  <si>
    <t>AP8</t>
  </si>
  <si>
    <t>맞춤형 보건복지 서비스 역량강화를 위한 전문인력 양성 체계 확대</t>
  </si>
  <si>
    <t>사회적 약자를 위한 보건복지케어 모니터링 프로그램 개발 및 운영</t>
  </si>
  <si>
    <t>지역 맞춤형 보건의료 인력 양성 및 지역 인재 선순환 체계 강화</t>
  </si>
  <si>
    <t>지역 수요 기반 보건복지 특성화 인력 지원</t>
  </si>
  <si>
    <t>AP9</t>
  </si>
  <si>
    <t>AP10</t>
  </si>
  <si>
    <t>집행금액</t>
    <phoneticPr fontId="2" type="noConversion"/>
  </si>
  <si>
    <t>프로젝트 코드</t>
    <phoneticPr fontId="2" type="noConversion"/>
  </si>
  <si>
    <t>액션플랜 코드</t>
    <phoneticPr fontId="2" type="noConversion"/>
  </si>
  <si>
    <t>프로그램 코드</t>
    <phoneticPr fontId="2" type="noConversion"/>
  </si>
  <si>
    <t>사업비(2차년도 예산 기준) 
(단위:천원)</t>
  </si>
  <si>
    <t>종합 공동연구 협업지원 체계 강화</t>
    <phoneticPr fontId="2" type="noConversion"/>
  </si>
  <si>
    <t>산학협력 연계 기업협업센터(ICC) 내실화</t>
    <phoneticPr fontId="2" type="noConversion"/>
  </si>
  <si>
    <t>AP1</t>
  </si>
  <si>
    <t>ICC 기반 초광역 산학협력 지원 체계 구축</t>
    <phoneticPr fontId="2" type="noConversion"/>
  </si>
  <si>
    <t>특허출원</t>
    <phoneticPr fontId="2" type="noConversion"/>
  </si>
  <si>
    <t>이혜성</t>
    <phoneticPr fontId="2" type="noConversion"/>
  </si>
  <si>
    <t>특허출원 2.17백만원/1건 * 4건 = 8.7백만원</t>
    <phoneticPr fontId="2" type="noConversion"/>
  </si>
  <si>
    <t>AP1b</t>
    <phoneticPr fontId="2" type="noConversion"/>
  </si>
  <si>
    <t>논문게재료</t>
    <phoneticPr fontId="2" type="noConversion"/>
  </si>
  <si>
    <t>논문게재료 0.5백만원/건 * 1건 = 0.5백만원</t>
    <phoneticPr fontId="2" type="noConversion"/>
  </si>
  <si>
    <t>AP1c</t>
    <phoneticPr fontId="2" type="noConversion"/>
  </si>
  <si>
    <t>기술 사업화 지원(시제품 제작, 마케팅 지원 등)</t>
    <phoneticPr fontId="2" type="noConversion"/>
  </si>
  <si>
    <t>ICC 분야별 교원 역량 강화 프로그램 개발</t>
    <phoneticPr fontId="2" type="noConversion"/>
  </si>
  <si>
    <t>AI활용 연구논문 작성법 관련 교직원 역량 강화 교육</t>
    <phoneticPr fontId="2" type="noConversion"/>
  </si>
  <si>
    <t>교직원 역량강화 프로그램 1.65백만원 * 1회 = 1.65백만원</t>
    <phoneticPr fontId="2" type="noConversion"/>
  </si>
  <si>
    <t>주력산업·신산업, 특성화 분야별 산학협력 거버넌스 강화</t>
    <phoneticPr fontId="2" type="noConversion"/>
  </si>
  <si>
    <t>산학연 협의체 확대 및 기술 교류 방안 마련</t>
    <phoneticPr fontId="2" type="noConversion"/>
  </si>
  <si>
    <t>가족협력회사 지원(현판, 인증서 제작 등)</t>
    <phoneticPr fontId="2" type="noConversion"/>
  </si>
  <si>
    <t>가족회사 협력 지원(현판, 인증서 제작 등) 0.5백만원/건 * 10건 = 5.0백만원</t>
    <phoneticPr fontId="2" type="noConversion"/>
  </si>
  <si>
    <t>성과공유</t>
    <phoneticPr fontId="2" type="noConversion"/>
  </si>
  <si>
    <t>[공동] 성과워크샵 4백만원/건 * 1건 = 4백만원</t>
  </si>
  <si>
    <t>주력산업·신산업, 특성화 분야별 산학협력 거버넌스 강화</t>
  </si>
  <si>
    <t>지·산·학·연 간 공동연구 통합 플랫폼 개선 및 활성화</t>
    <phoneticPr fontId="2" type="noConversion"/>
  </si>
  <si>
    <t>ICC 공용 플랫폼 구축(연구자정보 콘텐츠 통합)</t>
    <phoneticPr fontId="2" type="noConversion"/>
  </si>
  <si>
    <t>대학-기업-연구기관(출연연) 연계 울산 주력/신사업 분야 기술개발 지원</t>
  </si>
  <si>
    <t>ICC 연계 초광역 산학협력 공동연구 운영</t>
    <phoneticPr fontId="2" type="noConversion"/>
  </si>
  <si>
    <t>울산지역 7대 핵심 분야 공동연구 과제 공모 및 운영</t>
    <phoneticPr fontId="2" type="noConversion"/>
  </si>
  <si>
    <t>(일반형)공동연구개발(미래차, 화학, 사회 각 1개 과제</t>
    <phoneticPr fontId="2" type="noConversion"/>
  </si>
  <si>
    <t>(컨소시엄형)공동연구개발(주력신산업 분야)</t>
    <phoneticPr fontId="2" type="noConversion"/>
  </si>
  <si>
    <t>지·산·학·연 초광역 공동연구 지원 체계 구축</t>
    <phoneticPr fontId="2" type="noConversion"/>
  </si>
  <si>
    <t>(초광역) 주력신사업 공동연구 과제 개발 1건</t>
    <phoneticPr fontId="2" type="noConversion"/>
  </si>
  <si>
    <t>전문기술석사 연계 산학프로젝트 활성화</t>
    <phoneticPr fontId="2" type="noConversion"/>
  </si>
  <si>
    <t>전문기술석사 연계 산학프로젝트 발굴 및 수행</t>
    <phoneticPr fontId="2" type="noConversion"/>
  </si>
  <si>
    <t>(인재양성형) 공동연구 과제 개발(전문기술석사 참여) 3건</t>
    <phoneticPr fontId="2" type="noConversion"/>
  </si>
  <si>
    <t>(전문기술석사)공동연구개발</t>
    <phoneticPr fontId="2" type="noConversion"/>
  </si>
  <si>
    <t>전문인력 공동연구 성과 공유를 위한 포럼 개최</t>
    <phoneticPr fontId="2" type="noConversion"/>
  </si>
  <si>
    <t>산학협력 간담회
*타 AP와 연결하여 시행예정</t>
    <phoneticPr fontId="2" type="noConversion"/>
  </si>
  <si>
    <t>산학협력 간담회 2.75백만원/건 * 1건 = 2.75백만원</t>
    <phoneticPr fontId="2" type="noConversion"/>
  </si>
  <si>
    <t>중소·중견기업 기술 혁신 및 사업 경쟁력 강화지원</t>
    <phoneticPr fontId="2" type="noConversion"/>
  </si>
  <si>
    <t>중소·중견기업 현장 애로기술 지도 및 경영 컨설팅</t>
    <phoneticPr fontId="2" type="noConversion"/>
  </si>
  <si>
    <t>중소·중견기업 경영 컨설팅 지원 방안 마련</t>
    <phoneticPr fontId="2" type="noConversion"/>
  </si>
  <si>
    <t>애로기술 해결을 기술개발 및 실증화 지원</t>
    <phoneticPr fontId="2" type="noConversion"/>
  </si>
  <si>
    <t>지역 중소·중견기업 애로기술지도 0.49원 * 28건 = 13.9백만원</t>
    <phoneticPr fontId="2" type="noConversion"/>
  </si>
  <si>
    <t>중소·중견기업을 위한 공용장비 지원 강화</t>
    <phoneticPr fontId="2" type="noConversion"/>
  </si>
  <si>
    <t>대학 보유 장비 공동 활용 지원체계 개선</t>
    <phoneticPr fontId="2" type="noConversion"/>
  </si>
  <si>
    <t>매칭불가</t>
    <phoneticPr fontId="2" type="noConversion"/>
  </si>
  <si>
    <t>*개방형설계센터, 2025년 도입 기자재 활용여부 관리 필요</t>
    <phoneticPr fontId="2" type="noConversion"/>
  </si>
  <si>
    <t>개방형설계센터 공간 및 장비의 공동활용 활성화</t>
    <phoneticPr fontId="2" type="noConversion"/>
  </si>
  <si>
    <t>*개방형설계센터 멤버십 수익금 활용여부 논의 필요</t>
    <phoneticPr fontId="2" type="noConversion"/>
  </si>
  <si>
    <t>이월금</t>
    <phoneticPr fontId="2" type="noConversion"/>
  </si>
  <si>
    <t>미분류</t>
    <phoneticPr fontId="2" type="noConversion"/>
  </si>
  <si>
    <t>전담직원 28백만원 * 1명 = 28만원</t>
    <phoneticPr fontId="2" type="noConversion"/>
  </si>
  <si>
    <t>우수교직원 성과급 7.5백만원/명 * 1명 = 7.5백만원</t>
    <phoneticPr fontId="2" type="noConversion"/>
  </si>
  <si>
    <t>간접비 9백만원((3%)이내)/건 * 1건 = 9백만원</t>
    <phoneticPr fontId="2" type="noConversion"/>
  </si>
  <si>
    <t>지산학 협력 기반 탄소중립 실무인재 양성</t>
    <phoneticPr fontId="2" type="noConversion"/>
  </si>
  <si>
    <t>AI 기반 탄소중립·ESG 교양 및 실무 교육과정 운영</t>
    <phoneticPr fontId="2" type="noConversion"/>
  </si>
  <si>
    <t>탄소중립·ESG 캠퍼스 아카데미 교양 교육과정 운영</t>
    <phoneticPr fontId="2" type="noConversion"/>
  </si>
  <si>
    <t>탄소중립/ESG 정규 교육과정 운영(교양)</t>
    <phoneticPr fontId="2" type="noConversion"/>
  </si>
  <si>
    <t>이윤정</t>
    <phoneticPr fontId="2" type="noConversion"/>
  </si>
  <si>
    <t>AI 기반 탄소인증 실무과정 운영</t>
    <phoneticPr fontId="2" type="noConversion"/>
  </si>
  <si>
    <t>AP2a</t>
  </si>
  <si>
    <t>탄소중립/ESG 재직자 교육</t>
  </si>
  <si>
    <t>탄소중립/ESG 교직원 역량강화</t>
    <phoneticPr fontId="2" type="noConversion"/>
  </si>
  <si>
    <t>온실가스 관리 및 ESG 경영 전문가 양성 비교과 과정 운영</t>
    <phoneticPr fontId="2" type="noConversion"/>
  </si>
  <si>
    <t>온실가스관리 전문가 양성 비교과과정 운영</t>
    <phoneticPr fontId="2" type="noConversion"/>
  </si>
  <si>
    <t>AP3a</t>
  </si>
  <si>
    <t>온실가스 전문가 양성 비정규 교육과정</t>
  </si>
  <si>
    <t>탄소중립/ESG분야 인증 교육과정 운영 14백만원/건 * 1건 = 14백만원</t>
    <phoneticPr fontId="2" type="noConversion"/>
  </si>
  <si>
    <t>이정은, 
이윤정</t>
    <phoneticPr fontId="2" type="noConversion"/>
  </si>
  <si>
    <t>ESG 경영 전문가 양성 비교과과정 운영</t>
    <phoneticPr fontId="2" type="noConversion"/>
  </si>
  <si>
    <t>ESG경영 전문가 양성 비정규 교육과정 운영</t>
  </si>
  <si>
    <t>온라인교육 컨텐츠 개발(K-MOOC 등)</t>
    <phoneticPr fontId="2" type="noConversion"/>
  </si>
  <si>
    <t>디지털 전환 기반 중소기업 탄소 대응체계 구축</t>
    <phoneticPr fontId="2" type="noConversion"/>
  </si>
  <si>
    <t>중소기업 대상 탄소중립 지원 플랫폼 구축 및 기술 지원</t>
    <phoneticPr fontId="2" type="noConversion"/>
  </si>
  <si>
    <t>중소기업용 AI 기반 탄소배출 및 저탄소인증 지원 플랫폼 구축</t>
    <phoneticPr fontId="2" type="noConversion"/>
  </si>
  <si>
    <t>AP5a</t>
  </si>
  <si>
    <t>탄소중립/ESG 중소기업 지원 솔루션 개발</t>
    <phoneticPr fontId="2" type="noConversion"/>
  </si>
  <si>
    <t>이정은</t>
    <phoneticPr fontId="2" type="noConversion"/>
  </si>
  <si>
    <t>지역 산업체 대상 탄소중립 기술개발 및 컨설팅</t>
    <phoneticPr fontId="2" type="noConversion"/>
  </si>
  <si>
    <t>탄소중립/ESG 산학공동기술개발 2건</t>
    <phoneticPr fontId="2" type="noConversion"/>
  </si>
  <si>
    <t>탄소중립/ESG 산학공동기술개발</t>
  </si>
  <si>
    <t>AP7a</t>
  </si>
  <si>
    <t>탄소배출 경영개선 가족회사 기술지원 5건</t>
    <phoneticPr fontId="2" type="noConversion"/>
  </si>
  <si>
    <t>가족회사 기술지원</t>
    <phoneticPr fontId="2" type="noConversion"/>
  </si>
  <si>
    <t>AP7b</t>
  </si>
  <si>
    <t>ESG 경영개선 가족회사 기술지원 5건</t>
    <phoneticPr fontId="2" type="noConversion"/>
  </si>
  <si>
    <t>글로벌 탄소중립·ESG 트렌드 및 산업 현장 벤치마킹</t>
    <phoneticPr fontId="2" type="noConversion"/>
  </si>
  <si>
    <t>국내외 탄소중립 기술 박람회 벤치마킹</t>
    <phoneticPr fontId="2" type="noConversion"/>
  </si>
  <si>
    <t>탄소중립/ESG 박람회 벤치마킹</t>
  </si>
  <si>
    <t>탄소중립/ESG분야 우수사례 국내 벤치마킹 19백만원/건 * 3건 = 5.7백만원</t>
    <phoneticPr fontId="2" type="noConversion"/>
  </si>
  <si>
    <t>이윤정, 
이혜성</t>
    <phoneticPr fontId="2" type="noConversion"/>
  </si>
  <si>
    <t>저탄소 및 녹색성장 관련 우수기업 벤치마킹</t>
    <phoneticPr fontId="2" type="noConversion"/>
  </si>
  <si>
    <t>AP8a</t>
  </si>
  <si>
    <t>탄소중립/ESG 우수기업 벤치마킹</t>
  </si>
  <si>
    <t>지역 사회 상생 및 탄소중립 실천문화 확산</t>
    <phoneticPr fontId="2" type="noConversion"/>
  </si>
  <si>
    <t>캠퍼스 내 탄소감축 실증 프로젝트</t>
  </si>
  <si>
    <t>친환경 에너지 순환형 리빙랩 인프라 구축 및 운영</t>
    <phoneticPr fontId="2" type="noConversion"/>
  </si>
  <si>
    <t>AP9a</t>
  </si>
  <si>
    <t>데이터 기반 탄소 감축량 모니터링 및 성과 검증</t>
    <phoneticPr fontId="2" type="noConversion"/>
  </si>
  <si>
    <t>AP10a</t>
  </si>
  <si>
    <t>업사이클링 물품 제작 장비</t>
    <phoneticPr fontId="2" type="noConversion"/>
  </si>
  <si>
    <t>업사이클링 봉사활동 및 캠퍼스 ESG 실천 강화</t>
    <phoneticPr fontId="2" type="noConversion"/>
  </si>
  <si>
    <t>업사이클링 체험 및 지역사회 연계 봉사 프로그램</t>
    <phoneticPr fontId="2" type="noConversion"/>
  </si>
  <si>
    <t>AP11a</t>
  </si>
  <si>
    <t>탄소중립/ESG 체험 및 봉사프로그램</t>
  </si>
  <si>
    <t>탄소중립 실천 봉사프로그램</t>
    <phoneticPr fontId="2" type="noConversion"/>
  </si>
  <si>
    <t>탄소중립 서포터즈 기반 교내 탄소중립 문화 확산</t>
    <phoneticPr fontId="2" type="noConversion"/>
  </si>
  <si>
    <t>탄소중립/ESG 학생 서포터즈 활동비</t>
  </si>
  <si>
    <t>탄소중립/ESG 정책연구</t>
  </si>
  <si>
    <t>탄소중립/ESG 아이디어 경진대회(지속가능캠퍼스 경진대회-B4연계)</t>
    <phoneticPr fontId="2" type="noConversion"/>
  </si>
  <si>
    <t>탄소중립 실천 아이디어 경진대회</t>
    <phoneticPr fontId="2" type="noConversion"/>
  </si>
  <si>
    <t>이윤정</t>
  </si>
  <si>
    <t>AP12d</t>
    <phoneticPr fontId="2" type="noConversion"/>
  </si>
  <si>
    <t>인건비</t>
    <phoneticPr fontId="2" type="noConversion"/>
  </si>
  <si>
    <t>[이월] 교육환경개선비 &gt;&gt; 플랫폼 구축(B1)</t>
    <phoneticPr fontId="2" type="noConversion"/>
  </si>
  <si>
    <t>간접비</t>
    <phoneticPr fontId="2" type="noConversion"/>
  </si>
  <si>
    <t xml:space="preserve">복합재난 대응 역량 강화를 위한인재 양성 </t>
  </si>
  <si>
    <t>재난 대응 실무 인재 양성 교육  프로그램 운영 강화</t>
  </si>
  <si>
    <t>재난 대응 안전·보건 인재양성 교육프로그램 운영 강화</t>
  </si>
  <si>
    <t>복합재난분야 정규 교육과정 운영</t>
  </si>
  <si>
    <t>복합재난분야 교육과정 운영(교과) 2백만원/건 * 3건 = 6백만원</t>
    <phoneticPr fontId="2" type="noConversion"/>
  </si>
  <si>
    <t>복합재난분야 비정규 교육과정 운영</t>
  </si>
  <si>
    <t>복합재난분야 교직원 역량강화</t>
  </si>
  <si>
    <t>이정은</t>
  </si>
  <si>
    <t>[공동] 교직원 복합재난대응 역량강화 교육 운영 3백만원/건 * 1건 = 3백만원</t>
    <phoneticPr fontId="2" type="noConversion"/>
  </si>
  <si>
    <t>AP1d</t>
  </si>
  <si>
    <t>AP1e</t>
  </si>
  <si>
    <t>재난안전대응 아이디어 경진대회 4.7백만원/건 * 1건 = 4.7백만원</t>
    <phoneticPr fontId="2" type="noConversion"/>
  </si>
  <si>
    <t>복합재난 대응 선진기술 벤치마킹</t>
    <phoneticPr fontId="2" type="noConversion"/>
  </si>
  <si>
    <t>복합재난대응 우수사례(박람회) 국내 벤치마킹 15백만원/건 * 1건= 15백만원</t>
    <phoneticPr fontId="2" type="noConversion"/>
  </si>
  <si>
    <t>산업안전·보건 교육 교재 및 온라인 학습 콘텐츠 개발</t>
  </si>
  <si>
    <t xml:space="preserve">복합재난분야 온라인 교육컨텐츠(K-MOOC) 개발 </t>
  </si>
  <si>
    <t>AI 기반 취약계층 중심 재난 대응 콘텐츠 실증화</t>
  </si>
  <si>
    <t>AI 기반 취약계층 중심 재난 대응 콘텐츠 적용 및 고도화</t>
  </si>
  <si>
    <t>취약계층 대상 위급상황 응급처치 교육 확대</t>
  </si>
  <si>
    <t>AP4a</t>
  </si>
  <si>
    <t xml:space="preserve">재난 단계별 복합재난 대응체계 구축 </t>
  </si>
  <si>
    <t xml:space="preserve">현장 중심의 복합재난 대응 기업체 맞춤형 지원 강화 </t>
  </si>
  <si>
    <t>산업군별 맞춤형 재난 대응 기술지원 운영</t>
  </si>
  <si>
    <t>복합재난분야 가족회사 기술지원</t>
  </si>
  <si>
    <t>기업의 응급 대응 매뉴얼 컨설팅 및 기술지원</t>
  </si>
  <si>
    <t>복합재난분야 가족회사 기술지원 0.4백만원/건 * 1건 = 0.4백만원</t>
    <phoneticPr fontId="2" type="noConversion"/>
  </si>
  <si>
    <t>단계별 재난 대응 교육 훈련 프로그램 체계 개발</t>
  </si>
  <si>
    <t>복합재난분야 정책연구</t>
  </si>
  <si>
    <t xml:space="preserve"> 복합재난분야 지산학공동연구개발과제 30.0백만원/건 * 1건= 30.0백만원</t>
    <phoneticPr fontId="2" type="noConversion"/>
  </si>
  <si>
    <t>단계별 재난 대응역량 체계 구축</t>
  </si>
  <si>
    <t>산업 맞춤형 안전·보건 자격 인증 과정 개설 및 운영</t>
  </si>
  <si>
    <t>ISO45001인증 교육과정</t>
  </si>
  <si>
    <t>복합재난분야 국제인증(ISO45001) 교육과정 운영 5백만원/건 * 2건 = 10백만원</t>
    <phoneticPr fontId="2" type="noConversion"/>
  </si>
  <si>
    <t>이혜성, 
이윤정</t>
    <phoneticPr fontId="2" type="noConversion"/>
  </si>
  <si>
    <t xml:space="preserve">지∙산∙학∙연 복합재난 협력 네트워크 구축 및 운영 </t>
  </si>
  <si>
    <t xml:space="preserve">재난 대응 산업안전∙보건 교육장 운영 </t>
  </si>
  <si>
    <t>재난 대응 산업 안전·보건 교육장 구축 및 프로그램 개설</t>
  </si>
  <si>
    <t>복합재난 대응 체험형 교육실습 장비</t>
  </si>
  <si>
    <t>AP9b</t>
  </si>
  <si>
    <t xml:space="preserve">복합재난 대응 실감형 컨텐츠 운영장비 </t>
  </si>
  <si>
    <t>교육 운영을 위한 전문 인력 양성 및 교육과정 개설</t>
  </si>
  <si>
    <t>AP11</t>
  </si>
  <si>
    <t>재난 대응 네트워크 구축을 위한 지역사회 협력 확대</t>
  </si>
  <si>
    <t>복합재난대응 지자체 협력프로그램</t>
  </si>
  <si>
    <t>복합재난분야 지자체 협력프로그램 운영(울산안전의날) 3백만원/건 * 1건 = 3백만원</t>
    <phoneticPr fontId="2" type="noConversion"/>
  </si>
  <si>
    <t>지·산·학·연 복합 재난 협력대응 네트워크 확대</t>
  </si>
  <si>
    <t>AP12</t>
  </si>
  <si>
    <t>복합재난 공동 대응을 위한 정기적 협의체 구축 및 활성화</t>
  </si>
  <si>
    <t>AP12a</t>
  </si>
  <si>
    <t>재난 대응 산학 협의체 운영</t>
  </si>
  <si>
    <t>AP12b</t>
  </si>
  <si>
    <t xml:space="preserve"> 복합재난분야 지산학연 거버넌스 구축(재난안전공동협의체) 1백만원/건 * 1건 = 1백만원</t>
  </si>
  <si>
    <t>복합재난분야 산업체 인사특강 0.65백만원/건 * 2건 = 1.3백만원</t>
    <phoneticPr fontId="2" type="noConversion"/>
  </si>
  <si>
    <t>복합재난분야 산합협력 간담회 4건 = 6.15백만원</t>
    <phoneticPr fontId="2" type="noConversion"/>
  </si>
  <si>
    <t>전담직원 29백만원 * 1명 = 29백만원</t>
    <phoneticPr fontId="2" type="noConversion"/>
  </si>
  <si>
    <t>우수교직원 성과급 5백만원/명 * 5명 = 25백만원</t>
    <phoneticPr fontId="2" type="noConversion"/>
  </si>
  <si>
    <t>활동비(여비, 출장, 워크숍, 학회 등) 3백만원 * 1년 = 3백만원</t>
    <phoneticPr fontId="2" type="noConversion"/>
  </si>
  <si>
    <t>AID-X 지원센터 운영체계 고도화 및 AWS 공인인증 교육센터(C3) 구축</t>
  </si>
  <si>
    <t>AP1a</t>
    <phoneticPr fontId="2" type="noConversion"/>
  </si>
  <si>
    <t>AWS 클라우드 인프라 기반 AI·DX 실습/개발 환경 운영</t>
  </si>
  <si>
    <t>도지은</t>
    <phoneticPr fontId="2" type="noConversion"/>
  </si>
  <si>
    <t>AI·DX 교원 역량 강화 프로그램 운영</t>
  </si>
  <si>
    <t>AWS 기반 클라우드·AI 실습 중심 프로그램</t>
  </si>
  <si>
    <t>AI·DX 교과/비교과 시범 운영 결과 반영 교육 과정 개선</t>
  </si>
  <si>
    <t>AI·DX 인재 양성 교육과정 운영 및 확산</t>
  </si>
  <si>
    <t>AP6a</t>
  </si>
  <si>
    <t>산업/지역 연계형 AI·DX 인재 양성 교육과정 개발</t>
  </si>
  <si>
    <t>기업 맞춤형 교육과정 및 실무형 인재 양성 프로그램 운영</t>
  </si>
  <si>
    <t>AI·DX 분야 산학공동기술 고도화 과제 운영</t>
  </si>
  <si>
    <t>지역 산업체 대상 Physical AI 기반 교육과정 운영</t>
  </si>
  <si>
    <t>Physical AI 기반 산학 공동 기술 개발과제 운영</t>
  </si>
  <si>
    <t>Physical AI 기반 설비·공정 DX 기술 시범 적용</t>
  </si>
  <si>
    <t>AP13</t>
  </si>
  <si>
    <t>AP13a</t>
  </si>
  <si>
    <t>AP14</t>
  </si>
  <si>
    <t>재학생·재직자 통합형 Re⋅Up-Skill 프로그램 확대</t>
  </si>
  <si>
    <t>AP14a</t>
  </si>
  <si>
    <t>AP15</t>
  </si>
  <si>
    <t>AP15a</t>
  </si>
  <si>
    <t>AP16</t>
  </si>
  <si>
    <t>AP16a</t>
  </si>
  <si>
    <t>P9</t>
    <phoneticPr fontId="2" type="noConversion"/>
  </si>
  <si>
    <t>AP17</t>
  </si>
  <si>
    <t>AP17a</t>
  </si>
  <si>
    <t>AP18</t>
  </si>
  <si>
    <t>AP19</t>
  </si>
  <si>
    <t>초광역 확산 체계 구축</t>
  </si>
  <si>
    <t>AP19a</t>
  </si>
  <si>
    <r>
      <rPr>
        <sz val="11"/>
        <color theme="1"/>
        <rFont val="Malgun Gothic"/>
        <family val="2"/>
        <charset val="129"/>
      </rPr>
      <t>울산과학대학교</t>
    </r>
    <r>
      <rPr>
        <sz val="11"/>
        <color theme="1"/>
        <rFont val="KoPubDotum Medium"/>
        <family val="2"/>
      </rPr>
      <t xml:space="preserve"> RISE </t>
    </r>
    <r>
      <rPr>
        <sz val="11"/>
        <color theme="1"/>
        <rFont val="Malgun Gothic"/>
        <family val="2"/>
        <charset val="129"/>
      </rPr>
      <t>추진전략</t>
    </r>
    <phoneticPr fontId="2" type="noConversion"/>
  </si>
  <si>
    <t>지역인력 수요분석 기반 UC-HYPER 실무인재 양성</t>
    <phoneticPr fontId="2" type="noConversion"/>
  </si>
  <si>
    <t>UC-HYPER 교수학습 모델 개발</t>
    <phoneticPr fontId="2" type="noConversion"/>
  </si>
  <si>
    <t>('26) UC-HYPER 교수학습모델 시범 적용
('25) UC-HYPER 교수학습모델 개발/운영/성과확산</t>
    <phoneticPr fontId="2" type="noConversion"/>
  </si>
  <si>
    <t>UC-HYPER 교수법 개발(공학/비공학)</t>
  </si>
  <si>
    <t>박기범</t>
    <phoneticPr fontId="2" type="noConversion"/>
  </si>
  <si>
    <t>정자윤</t>
    <phoneticPr fontId="2" type="noConversion"/>
  </si>
  <si>
    <t>지역산업 맞춤형 정규/비정규 교육과정 운영</t>
  </si>
  <si>
    <t>('26) 지역 맞춤형 주문식 교육과정 개편 및 확대 운영
('25) 채용연계(우대) 맞춤형 주문식 교육과정 개발/운영
('25) 캡스톤 디자인 운영
('25) 현장기반 학습공간 연계 정규교과목 운영
('25) UC-HYPER 융복합 트랙 교육과정 개발/운영</t>
    <phoneticPr fontId="2" type="noConversion"/>
  </si>
  <si>
    <t>주문식 교육과정 운영</t>
  </si>
  <si>
    <t>주문식 교육과정 자체평가 보고서</t>
  </si>
  <si>
    <t>학점교류 교과목 운영</t>
  </si>
  <si>
    <t>서란
이은주</t>
    <phoneticPr fontId="2" type="noConversion"/>
  </si>
  <si>
    <t>이은주</t>
    <phoneticPr fontId="2" type="noConversion"/>
  </si>
  <si>
    <t>AP2d</t>
    <phoneticPr fontId="2" type="noConversion"/>
  </si>
  <si>
    <t>학과별 실험실습재료비 지원</t>
  </si>
  <si>
    <t>(New) 지역 맞춤형 비교과 프로그램 개발 및 운영</t>
    <phoneticPr fontId="2" type="noConversion"/>
  </si>
  <si>
    <t>특화분야 자격증/전문가 과정 운영</t>
  </si>
  <si>
    <t>교육과정 모니터링 체계 구축 및 성과 확산</t>
    <phoneticPr fontId="2" type="noConversion"/>
  </si>
  <si>
    <t>지역정주 경력개발 통합지원 체계 구축</t>
  </si>
  <si>
    <t>진로개발 통합지원 시스템 개발/운영</t>
    <phoneticPr fontId="2" type="noConversion"/>
  </si>
  <si>
    <t>ECC플랫폼 구축(2단계)</t>
    <phoneticPr fontId="2" type="noConversion"/>
  </si>
  <si>
    <t>고등직업교육모델 공유 및 확산</t>
    <phoneticPr fontId="2" type="noConversion"/>
  </si>
  <si>
    <t>ECC 성과확산 프로그램 운영</t>
  </si>
  <si>
    <t>지산학 페스티벌 운영
창의설계 경진대회</t>
    <phoneticPr fontId="2" type="noConversion"/>
  </si>
  <si>
    <t>지역정주 지산학 맞춤형 고급 기술인재 양성</t>
    <phoneticPr fontId="2" type="noConversion"/>
  </si>
  <si>
    <t>지역정주 지산학 인재양성 체계 구축</t>
    <phoneticPr fontId="2" type="noConversion"/>
  </si>
  <si>
    <t>('26) 개방형설계센터 전문가 활용 교육 지원
('25) UC-HYPER 교직원 역량 강화 프로그램 운영</t>
    <phoneticPr fontId="2" type="noConversion"/>
  </si>
  <si>
    <t>개방형설계센터 전문가활용교육 개발 및 운영</t>
  </si>
  <si>
    <t>교직원 역량강화 프로그램 운영</t>
  </si>
  <si>
    <t>('26) 울산형 데이터 기술인재 양성 교육 지원
('25) UC-HYPER 운영 규정 제·개정</t>
    <phoneticPr fontId="2" type="noConversion"/>
  </si>
  <si>
    <t>울산형 데이터센터 기술인재 양성을 위한 자격증과정 운영</t>
    <phoneticPr fontId="2" type="noConversion"/>
  </si>
  <si>
    <t>울산형 데이터센터 기술인재 양성을 위한 마이크로디그리 개발</t>
    <phoneticPr fontId="2" type="noConversion"/>
  </si>
  <si>
    <t>서란</t>
    <phoneticPr fontId="2" type="noConversion"/>
  </si>
  <si>
    <t>고급 기술인재양성 프로그램 운영</t>
    <phoneticPr fontId="2" type="noConversion"/>
  </si>
  <si>
    <t>('26) PBL 설계 교육 및 표준형 현장실습 운영
('25) 표준형 현장실습 운영</t>
    <phoneticPr fontId="2" type="noConversion"/>
  </si>
  <si>
    <t>표준형 현장실습 교과목 운영</t>
  </si>
  <si>
    <t>('26) 기업 PBL 문제해결지원과제 운영
('25) 전문기술석사 교육과정 운영
('25) 글로벌 교육 프로그램 개발/운영</t>
    <phoneticPr fontId="2" type="noConversion"/>
  </si>
  <si>
    <t>기업 PBL 문제해결 지원과제 운영</t>
  </si>
  <si>
    <t>전문기술석사 과정 워크숍</t>
    <phoneticPr fontId="2" type="noConversion"/>
  </si>
  <si>
    <t>하이퍼 캠퍼스(Hyper-connected) Campus 구축 및 운영</t>
  </si>
  <si>
    <t>하이퍼 캠퍼스 구축</t>
  </si>
  <si>
    <t>UC-HYPER 교육환경 구축(Udx-Lab 포함)</t>
    <phoneticPr fontId="2" type="noConversion"/>
  </si>
  <si>
    <t>교육환경개선</t>
  </si>
  <si>
    <t>생성형 AI 지원 플랫폼 구축</t>
  </si>
  <si>
    <t>실시간 쌍방향 소통 수업 플랫폼 구축</t>
  </si>
  <si>
    <t>UDx Lab 환경구축</t>
  </si>
  <si>
    <t>AP10d</t>
    <phoneticPr fontId="2" type="noConversion"/>
  </si>
  <si>
    <t>기자재 및 실습장비 구축</t>
  </si>
  <si>
    <t>하이퍼 캠퍼스 구축</t>
    <phoneticPr fontId="2" type="noConversion"/>
  </si>
  <si>
    <t>ECC 공유·협업 체계를 위한 인프라 구축</t>
  </si>
  <si>
    <t>디지털 전환 학습 인프라 강화</t>
  </si>
  <si>
    <r>
      <t xml:space="preserve">('26) Udx 기반 AI 리터러시 정규/비정규 교육과정 개발/운영
</t>
    </r>
    <r>
      <rPr>
        <sz val="11"/>
        <color rgb="FFFF0000"/>
        <rFont val="KoPub돋움체 Medium"/>
        <family val="3"/>
        <charset val="129"/>
      </rPr>
      <t>('26) 3개 대학 온라인 교육 콘텐츠 공동 개발 및 운영</t>
    </r>
    <r>
      <rPr>
        <sz val="11"/>
        <color rgb="FF000000"/>
        <rFont val="KoPub돋움체 Medium"/>
        <family val="3"/>
        <charset val="129"/>
      </rPr>
      <t xml:space="preserve">
('25) AI 리터러시 정규/비정규 교육과정 개발/운영
('25) UC-HYPER 핵심분야 요소기술 정규/비정규 교육과정 개발/운영</t>
    </r>
    <phoneticPr fontId="2" type="noConversion"/>
  </si>
  <si>
    <t>특화분야 온라인 교육 콘텐츠 개발</t>
  </si>
  <si>
    <t>AI리터러시 교과목 운영</t>
  </si>
  <si>
    <t>전자연구노트 이용료</t>
  </si>
  <si>
    <t>S5</t>
    <phoneticPr fontId="2" type="noConversion"/>
  </si>
  <si>
    <t>지역혁신 선도 인재양성 거버넌스 체계 구축 및 확산</t>
    <phoneticPr fontId="2" type="noConversion"/>
  </si>
  <si>
    <t>울산 맞춤형 인재양성 거버넌스 강화</t>
  </si>
  <si>
    <t>울산 맞춤형 인재양성 거버넌스 구축</t>
    <phoneticPr fontId="2" type="noConversion"/>
  </si>
  <si>
    <t>이전 공공기간 합동 채용설명회 및 취업 아카데미 운영</t>
    <phoneticPr fontId="2" type="noConversion"/>
  </si>
  <si>
    <t>김소연</t>
    <phoneticPr fontId="2" type="noConversion"/>
  </si>
  <si>
    <t>산학협력 간담회</t>
    <phoneticPr fontId="2" type="noConversion"/>
  </si>
  <si>
    <t>AP13d</t>
    <phoneticPr fontId="2" type="noConversion"/>
  </si>
  <si>
    <t>UDx 거버넌스 운영</t>
  </si>
  <si>
    <t>P10</t>
    <phoneticPr fontId="2" type="noConversion"/>
  </si>
  <si>
    <t>글로벌 지산학 혁신 거버넌스 구축 및 확산</t>
  </si>
  <si>
    <t>글로벌 지산학 혁신 거버넌스 구축</t>
  </si>
  <si>
    <t>장학금</t>
    <phoneticPr fontId="2" type="noConversion"/>
  </si>
  <si>
    <t>이은주
서란</t>
    <phoneticPr fontId="2" type="noConversion"/>
  </si>
  <si>
    <t>A1 총예산</t>
    <phoneticPr fontId="2" type="noConversion"/>
  </si>
  <si>
    <t>대학 구성원 창업 역량 강화 및 창업 인프라 구축</t>
    <phoneticPr fontId="2" type="noConversion"/>
  </si>
  <si>
    <t>재학생 창업 마인드 확산 및 실무 역량 강화 교육 프로그램 운영</t>
    <phoneticPr fontId="2" type="noConversion"/>
  </si>
  <si>
    <t>창업 정규 교육과정 개발·운영</t>
  </si>
  <si>
    <t>실전 창업 교과목 운영</t>
  </si>
  <si>
    <t>창업 교과목 실험실습재료비</t>
    <phoneticPr fontId="2" type="noConversion"/>
  </si>
  <si>
    <t>창업 비정규 프로그램 개발·운영</t>
  </si>
  <si>
    <t>창업동아리 운영</t>
  </si>
  <si>
    <t>교직원 창업 역량 강화 및 창업 인프라 구축</t>
    <phoneticPr fontId="2" type="noConversion"/>
  </si>
  <si>
    <t>창업문화 확산을 위한 규정·제도 개선</t>
  </si>
  <si>
    <t>('26) 삭제
('25) 교직원 창업역량 강화</t>
    <phoneticPr fontId="2" type="noConversion"/>
  </si>
  <si>
    <t>(A1 연계) 교직원 역량강화 교육 지원</t>
  </si>
  <si>
    <t>('26) 실전 창업 환경개선 및 하이퍼캠퍼스(F.A.B. Lab) 활용
('25) 실전 창업 환경 개선 및 하이퍼캠퍼스(창업) 구축</t>
    <phoneticPr fontId="2" type="noConversion"/>
  </si>
  <si>
    <t>창업 동아리(메이커스페이스)실 구축</t>
  </si>
  <si>
    <t>창업 동아리 기자재 구축</t>
  </si>
  <si>
    <t>예비창업자 발굴 및 기술·일반 창업 지원 강화</t>
    <phoneticPr fontId="2" type="noConversion"/>
  </si>
  <si>
    <t>예비창업자 지원 프로그램 운영</t>
    <phoneticPr fontId="2" type="noConversion"/>
  </si>
  <si>
    <t>재학생·교직원 예비창업자 지원 프로그램 운영</t>
  </si>
  <si>
    <t>재학생 및 교직원 예비창업자 지원 프로그램 운영</t>
  </si>
  <si>
    <t>재학생·교직원 예비창업자 지원 프로그램 운영</t>
    <phoneticPr fontId="2" type="noConversion"/>
  </si>
  <si>
    <t>청년 창업 캠프 운영</t>
  </si>
  <si>
    <r>
      <t xml:space="preserve">('26) </t>
    </r>
    <r>
      <rPr>
        <sz val="11"/>
        <color rgb="FFFF0000"/>
        <rFont val="KoPub돋움체 Medium"/>
        <family val="3"/>
        <charset val="129"/>
      </rPr>
      <t>중소기업 2세 M.AI(AI기반 경영 혁신) 창업교육</t>
    </r>
    <r>
      <rPr>
        <sz val="11"/>
        <color rgb="FF000000"/>
        <rFont val="KoPub돋움체 Medium"/>
        <family val="3"/>
        <charset val="129"/>
      </rPr>
      <t xml:space="preserve">
('25) 초·중·고 및 지역민 예비창업자 지원 프로그램 운영</t>
    </r>
    <phoneticPr fontId="2" type="noConversion"/>
  </si>
  <si>
    <t>사업화 후속 지원 및 성장 가속화 프로그램 운영</t>
    <phoneticPr fontId="2" type="noConversion"/>
  </si>
  <si>
    <t>('26) 창업 성공 도약 지원 프로그램 운영
('25) 초기 창업자 대상 사업화 후속 지원</t>
    <phoneticPr fontId="2" type="noConversion"/>
  </si>
  <si>
    <t>창업 성공 도약 지원 프로그램 운영</t>
  </si>
  <si>
    <t>('26) 투자유치형 창업 지원 프로그램 운영
('25) 아이디어 특허 지원</t>
    <phoneticPr fontId="2" type="noConversion"/>
  </si>
  <si>
    <t>지역 연계 창업 네트워크 활성화 및 글로컬 창업 생태계 확장</t>
    <phoneticPr fontId="2" type="noConversion"/>
  </si>
  <si>
    <t>초중고 및 타 기관과의 연계를 통한 창업 교육 생태계 구축</t>
    <phoneticPr fontId="2" type="noConversion"/>
  </si>
  <si>
    <r>
      <t>('26)</t>
    </r>
    <r>
      <rPr>
        <sz val="11"/>
        <color rgb="FFFF0000"/>
        <rFont val="KoPub돋움체 Medium"/>
        <family val="3"/>
        <charset val="129"/>
      </rPr>
      <t xml:space="preserve"> 초·중·고 예비창업자 지원 프로그램 운영</t>
    </r>
    <r>
      <rPr>
        <sz val="11"/>
        <color rgb="FF000000"/>
        <rFont val="KoPub돋움체 Medium"/>
        <family val="3"/>
        <charset val="129"/>
      </rPr>
      <t xml:space="preserve">
('25) 초·중·고 창업 교육 통합 지원 프로그램</t>
    </r>
    <phoneticPr fontId="2" type="noConversion"/>
  </si>
  <si>
    <r>
      <t>('26)</t>
    </r>
    <r>
      <rPr>
        <sz val="11"/>
        <color rgb="FFFF0000"/>
        <rFont val="KoPub돋움체 Medium"/>
        <family val="3"/>
        <charset val="129"/>
      </rPr>
      <t xml:space="preserve"> 지역민 예비창업자 지원 프로그램 운영</t>
    </r>
    <r>
      <rPr>
        <sz val="11"/>
        <color rgb="FF000000"/>
        <rFont val="KoPub돋움체 Medium"/>
        <family val="3"/>
        <charset val="129"/>
      </rPr>
      <t xml:space="preserve">
('25) 타 기관 연계 창업 협력 네트워크 구축 및 공동 교육 프로그램 운영</t>
    </r>
    <phoneticPr fontId="2" type="noConversion"/>
  </si>
  <si>
    <t>초중고 및 지역 예비창업자 지원 프로그램 운영</t>
  </si>
  <si>
    <t>AP11b</t>
    <phoneticPr fontId="2" type="noConversion"/>
  </si>
  <si>
    <t>글로벌 창업 네트워크 구축 및 운영으로 창업 생태계 확장</t>
    <phoneticPr fontId="2" type="noConversion"/>
  </si>
  <si>
    <t>('26) 초광역 온라인 창업 아이디어 경진대회 운영
('25) 해외 창업 인큐베이터 연계 프로그램 기획</t>
    <phoneticPr fontId="2" type="noConversion"/>
  </si>
  <si>
    <t>('26) 글로벌 네트워크 구축을 위한 국제 창업 경진대회 참가
('25) 창업선도모델 공동연구 및 벤치 마크</t>
    <phoneticPr fontId="2" type="noConversion"/>
  </si>
  <si>
    <t>Ap13a</t>
    <phoneticPr fontId="2" type="noConversion"/>
  </si>
  <si>
    <t>A2 총예산</t>
    <phoneticPr fontId="2" type="noConversion"/>
  </si>
  <si>
    <t>글로벌 인재 유치·정착 중심 통합지원 생태계 구축</t>
    <phoneticPr fontId="2" type="noConversion"/>
  </si>
  <si>
    <t>글로벌 인재 유치 및 국제협력 네트워크 확대</t>
  </si>
  <si>
    <t>해외 대학 국제공동 협력체계 구축 및 유지</t>
  </si>
  <si>
    <t>유학생 유치 협력 체계 구축 및 대학 홍보</t>
  </si>
  <si>
    <t>외국인 유학생 장학금</t>
  </si>
  <si>
    <t>해외 대학 국제공동 연구를 위한 네트워크 조성</t>
  </si>
  <si>
    <t>국제 공동 연구</t>
    <phoneticPr fontId="2" type="noConversion"/>
  </si>
  <si>
    <t>유학생 통합관리 플랫폼 구축</t>
  </si>
  <si>
    <t>유학생 대상 취업 및 정주 상담, 연계 DB 구축</t>
  </si>
  <si>
    <t>동시통역 소프트웨어 이용</t>
  </si>
  <si>
    <t>지역 산업 연계 실무교육 및 취업·정주 연계 강화</t>
  </si>
  <si>
    <t>지역 산업 맞춤형 글로벌 실무교육 및 현장실습 운영</t>
  </si>
  <si>
    <t>유학생 대상 주문식 교육과정 운영, 역량 강화를 위한
비교과(자격증/전문가)과정 운영</t>
    <phoneticPr fontId="2" type="noConversion"/>
  </si>
  <si>
    <t>(A1 연계) 유학생 대상 주문식 교육과정 운영</t>
    <phoneticPr fontId="2" type="noConversion"/>
  </si>
  <si>
    <t>유학생 대상 산업체 현장실습 프로그램 운영</t>
  </si>
  <si>
    <t>유학생 현장실습 지원</t>
    <phoneticPr fontId="2" type="noConversion"/>
  </si>
  <si>
    <t>유학생 현장실습 지원을 위한 지역 산업체 간담회</t>
  </si>
  <si>
    <t>글로벌 인재 양성 프로그램 운영</t>
  </si>
  <si>
    <t>유학생 대상 정착 지원 프로그램(컨설팅, 행정지원) 운영</t>
  </si>
  <si>
    <t>유학생 문화교류 프로그램 운영</t>
  </si>
  <si>
    <t>유학생 정착 지원 프로그램 운영</t>
  </si>
  <si>
    <t>한국어교육(TOPIK) 및 사회통합프로그램(3-4단계)을 통한
E-7-M 및 E-7 비자 발급 지원</t>
    <phoneticPr fontId="2" type="noConversion"/>
  </si>
  <si>
    <t>외국인 근로자 대상 정착 지원 프로그램(특수 교육, 법률 자문, 한국어교육 및 사회통합프로그램) 운영</t>
    <phoneticPr fontId="2" type="noConversion"/>
  </si>
  <si>
    <t>A3 총예산</t>
    <phoneticPr fontId="2" type="noConversion"/>
  </si>
  <si>
    <t>울산
RISE</t>
    <phoneticPr fontId="2" type="noConversion"/>
  </si>
  <si>
    <t>A-1. U-LEAD 지역혁신 융합</t>
    <phoneticPr fontId="2" type="noConversion"/>
  </si>
  <si>
    <t>울산
과학대</t>
    <phoneticPr fontId="2" type="noConversion"/>
  </si>
  <si>
    <t>A-1-가. 지역과 미래를 만드는 UC-HYPER 전문기술인재 양성</t>
    <phoneticPr fontId="2" type="noConversion"/>
  </si>
  <si>
    <t>A. 울산에 뿌리내리는 정주형 실전 
인재 양성</t>
    <phoneticPr fontId="2" type="noConversion"/>
  </si>
  <si>
    <t>A-2. 자생형 창업 인큐베이팅 허브 구축</t>
    <phoneticPr fontId="2" type="noConversion"/>
  </si>
  <si>
    <t>A-2-가. 지역 창업 생태계 혁신을 위한 글로컬 창업 문화 조성</t>
    <phoneticPr fontId="2" type="noConversion"/>
  </si>
  <si>
    <t>A-3. 글로벌 협력 거점 대학 육성</t>
    <phoneticPr fontId="2" type="noConversion"/>
  </si>
  <si>
    <t>A-3-가. 지역산업 연계 글로벌 협력 
거점 대학 육성</t>
    <phoneticPr fontId="2" type="noConversion"/>
  </si>
  <si>
    <t>B-1. 산학 공동 R&amp;BD 상생 플랫폼 
구축</t>
    <phoneticPr fontId="2" type="noConversion"/>
  </si>
  <si>
    <t>B-1-가. 울산지역 주력·신산업 분야 
산학협력 체계 구축</t>
    <phoneticPr fontId="2" type="noConversion"/>
  </si>
  <si>
    <t>B. 기업과 하나되는 지산학연 초연결 생태계 조성</t>
    <phoneticPr fontId="2" type="noConversion"/>
  </si>
  <si>
    <t>B. 기업과 하나되는 지∙산∙학∙연 
초연결 생태계 조성</t>
    <phoneticPr fontId="2" type="noConversion"/>
  </si>
  <si>
    <t>B-3. U-Z City 탄소중립 도시 조성</t>
    <phoneticPr fontId="2" type="noConversion"/>
  </si>
  <si>
    <t>B-4. 지·산·학·연 복합재난 안전교육 
플랫폼 구축</t>
    <phoneticPr fontId="2" type="noConversion"/>
  </si>
  <si>
    <t>B-4-가. 복합재난 대응 산업안전·보건 통합 운영체계 구축</t>
    <phoneticPr fontId="2" type="noConversion"/>
  </si>
  <si>
    <t>담당자</t>
    <phoneticPr fontId="2" type="noConversion"/>
  </si>
  <si>
    <t>기준일 현재 
집행율(%)</t>
    <phoneticPr fontId="2" type="noConversion"/>
  </si>
  <si>
    <t>기준일 현재
집행율(%)</t>
    <phoneticPr fontId="2" type="noConversion"/>
  </si>
  <si>
    <t>2차년도 사업비</t>
    <phoneticPr fontId="2" type="noConversion"/>
  </si>
  <si>
    <t>기준일 현재 
집행액
(천원)</t>
    <phoneticPr fontId="2" type="noConversion"/>
  </si>
  <si>
    <t>기준일 현재
집행액
(천원)</t>
    <phoneticPr fontId="2" type="noConversion"/>
  </si>
  <si>
    <t>프로그램 상세</t>
    <phoneticPr fontId="2" type="noConversion"/>
  </si>
  <si>
    <t>사업비 예산
(천원)</t>
    <phoneticPr fontId="2" type="noConversion"/>
  </si>
  <si>
    <r>
      <t xml:space="preserve">1차년도 사업비
</t>
    </r>
    <r>
      <rPr>
        <b/>
        <sz val="12"/>
        <color theme="4" tint="-0.249977111117893"/>
        <rFont val="Calibri"/>
        <family val="3"/>
        <charset val="129"/>
        <scheme val="minor"/>
      </rPr>
      <t>(**1차년도 이월금중 26년 신규사업으로 분류된 예산은 2차년도 사업비에 기재 요망)</t>
    </r>
    <phoneticPr fontId="2" type="noConversion"/>
  </si>
  <si>
    <t>UCLASS 학점교류 교과목 운영</t>
    <phoneticPr fontId="2" type="noConversion"/>
  </si>
  <si>
    <t>강소기업 현장견학 프로그램</t>
    <phoneticPr fontId="2" type="noConversion"/>
  </si>
  <si>
    <t>개방형설계센터 운영</t>
    <phoneticPr fontId="2" type="noConversion"/>
  </si>
  <si>
    <t>F.A.B. Lab실 운영을 위한 환경개선 공사</t>
    <phoneticPr fontId="2" type="noConversion"/>
  </si>
  <si>
    <t>창업 역량강화 프로그램 운영(로컬 국토 대장정·메가시티 리그전) 16.2백만원
서머창업스쿨(SES)운영 15.3백만원</t>
    <phoneticPr fontId="2" type="noConversion"/>
  </si>
  <si>
    <t>외국인 유학생 요양 보호사 과정 장학금 지급</t>
    <phoneticPr fontId="2" type="noConversion"/>
  </si>
  <si>
    <t>유학생 유치 협력 체계 구축 및 대학 홍보</t>
    <phoneticPr fontId="2" type="noConversion"/>
  </si>
  <si>
    <t>조선해양시스템공학과 이전에 따른 3공학관(용접기술교육센터) 리모델링</t>
    <phoneticPr fontId="2" type="noConversion"/>
  </si>
  <si>
    <t>글로벌 역량강화 프로그램 운영</t>
    <phoneticPr fontId="2" type="noConversion"/>
  </si>
  <si>
    <t>유학생 문화교류 프로그램 운영</t>
    <phoneticPr fontId="2" type="noConversion"/>
  </si>
  <si>
    <t>교직원 역량강화 프로그램 운영</t>
    <phoneticPr fontId="2" type="noConversion"/>
  </si>
  <si>
    <t>AP2e</t>
    <phoneticPr fontId="2" type="noConversion"/>
  </si>
  <si>
    <t>주문식(지역맞춤형) 교육과정 개발 및 개편 보고서</t>
    <phoneticPr fontId="2" type="noConversion"/>
  </si>
  <si>
    <t>과정평가형 교육과정개발(3개 학과)</t>
    <phoneticPr fontId="2" type="noConversion"/>
  </si>
  <si>
    <t>AP2f</t>
    <phoneticPr fontId="2" type="noConversion"/>
  </si>
  <si>
    <t>강소기업 현장견학 프로그램 운영</t>
    <phoneticPr fontId="2" type="noConversion"/>
  </si>
  <si>
    <t>학과 전공 맟춤형 모듈식 취업캠프</t>
    <phoneticPr fontId="2" type="noConversion"/>
  </si>
  <si>
    <t>시그니처 클래스 운영</t>
    <phoneticPr fontId="2" type="noConversion"/>
  </si>
  <si>
    <t>전공심화 산학 PBL과제</t>
    <phoneticPr fontId="2" type="noConversion"/>
  </si>
  <si>
    <t>중소기업 2세 M.AI(AI기반 경영 혁신) 창업교육</t>
    <phoneticPr fontId="2" type="noConversion"/>
  </si>
  <si>
    <t>울부심 여성동아리(멘토-멘티 컨설팅) 공동 운영(5,000)
인문사회 여성인력을 위한 창업 프로그램 개발 및 운영(10,000)</t>
    <phoneticPr fontId="2" type="noConversion"/>
  </si>
  <si>
    <t>투자유치형 창업 지원 프로그램창업-Bus</t>
    <phoneticPr fontId="2" type="noConversion"/>
  </si>
  <si>
    <t>모두의창업 아이디어 발굴 프로젝트</t>
    <phoneticPr fontId="2" type="noConversion"/>
  </si>
  <si>
    <t>AI창업실험실 연계 교육 지원</t>
    <phoneticPr fontId="2" type="noConversion"/>
  </si>
  <si>
    <t>소담스퀘어(로컬창업타운) 활성화 프로젝트</t>
    <phoneticPr fontId="2" type="noConversion"/>
  </si>
  <si>
    <t>청년 예비창업자 창업 교실 운영</t>
    <phoneticPr fontId="2" type="noConversion"/>
  </si>
  <si>
    <t>초광역 온라인 창업 아이디어 경진대회 운영</t>
    <phoneticPr fontId="2" type="noConversion"/>
  </si>
  <si>
    <t>창업 경진대회 참가</t>
    <phoneticPr fontId="2" type="noConversion"/>
  </si>
  <si>
    <t>대학연계 사회통합프로그램 운영</t>
    <phoneticPr fontId="2" type="noConversion"/>
  </si>
  <si>
    <t>공학계열 취업지원 플랫폼 이용료(indeed)</t>
    <phoneticPr fontId="2" type="noConversion"/>
  </si>
  <si>
    <t xml:space="preserve">교직원 AIDX 전문성강화 연수 </t>
    <phoneticPr fontId="2" type="noConversion"/>
  </si>
  <si>
    <t>집행금액</t>
  </si>
  <si>
    <t>잔액</t>
  </si>
  <si>
    <t>지역 중소·중견기업 애로기술지도&gt;&gt; 기술사업화</t>
    <phoneticPr fontId="2" type="noConversion"/>
  </si>
  <si>
    <t>운영본부</t>
    <phoneticPr fontId="2" type="noConversion"/>
  </si>
  <si>
    <t>(대기업 협력형) 산학공동기술개발연구과제 3건</t>
    <phoneticPr fontId="2" type="noConversion"/>
  </si>
  <si>
    <t>(신산업 분야) 공동연구 과제 개발(에너지, AX 등 1개 과제) 5건</t>
    <phoneticPr fontId="2" type="noConversion"/>
  </si>
  <si>
    <t xml:space="preserve">(개방형설계센터 실증연구형) 산학공동기술개발과제 </t>
    <phoneticPr fontId="2" type="noConversion"/>
  </si>
  <si>
    <t>기업애로 해결 컨설팅 지원 3건</t>
    <phoneticPr fontId="2" type="noConversion"/>
  </si>
  <si>
    <t>기업애로 해결 기술 지원 22건</t>
    <phoneticPr fontId="2" type="noConversion"/>
  </si>
  <si>
    <t>산업체 재직자교육</t>
  </si>
  <si>
    <t>이혜성</t>
  </si>
  <si>
    <t>[이월] ICC 공용 플랫폼 구축(연구자정보 콘텐츠 통합)</t>
    <phoneticPr fontId="2" type="noConversion"/>
  </si>
  <si>
    <t>[이월] 기술 사업화 지원(시제품 제작, 마케팅 지원 등)</t>
    <phoneticPr fontId="2" type="noConversion"/>
  </si>
  <si>
    <t>ICC</t>
    <phoneticPr fontId="2" type="noConversion"/>
  </si>
  <si>
    <t>[이월] 활동비 2.5백만원/년 * 1년 = 2.5백만원</t>
    <phoneticPr fontId="2" type="noConversion"/>
  </si>
  <si>
    <t>활동비 2.5백만원/년 * 1년 = 2.5백만원</t>
    <phoneticPr fontId="2" type="noConversion"/>
  </si>
  <si>
    <t>[이월] 사업단관리운영비 6.5백만원/년 * 1년 = 6.5백만원</t>
    <phoneticPr fontId="2" type="noConversion"/>
  </si>
  <si>
    <t>사업단관리운영비 6.5백만원/년 * 1년 = 6.5백만원</t>
    <phoneticPr fontId="2" type="noConversion"/>
  </si>
  <si>
    <t>[이월] 플랫폼 구축(B3(C3)에서 흡수)</t>
    <phoneticPr fontId="2" type="noConversion"/>
  </si>
  <si>
    <t>*플랫폼구축 취합금액</t>
    <phoneticPr fontId="2" type="noConversion"/>
  </si>
  <si>
    <t>울산
RISE</t>
    <phoneticPr fontId="4" type="noConversion"/>
  </si>
  <si>
    <t>B. 기업과 하나되는 지∙산∙학∙연 
초연결 생태계 조성</t>
    <phoneticPr fontId="4" type="noConversion"/>
  </si>
  <si>
    <r>
      <t>B-2. 산업전환을 위한 AI</t>
    </r>
    <r>
      <rPr>
        <b/>
        <sz val="16"/>
        <color theme="1"/>
        <rFont val="Tahoma"/>
        <family val="3"/>
        <charset val="1"/>
      </rPr>
      <t>‧</t>
    </r>
    <r>
      <rPr>
        <b/>
        <sz val="16"/>
        <color theme="1"/>
        <rFont val="Calibri"/>
        <family val="3"/>
        <charset val="129"/>
        <scheme val="minor"/>
      </rPr>
      <t>DX 확산</t>
    </r>
  </si>
  <si>
    <t>울산
과학대</t>
    <phoneticPr fontId="4" type="noConversion"/>
  </si>
  <si>
    <t>B-2-가. AID 역량강화 기반 
지역산업 전환 지원</t>
    <phoneticPr fontId="4" type="noConversion"/>
  </si>
  <si>
    <t>울산과학대학교 RISE 추진전략</t>
    <phoneticPr fontId="4" type="noConversion"/>
  </si>
  <si>
    <t>울산과학대학교 RISE 추진과제</t>
    <phoneticPr fontId="4" type="noConversion"/>
  </si>
  <si>
    <t>울산과학대학교 RISE Action Plan</t>
    <phoneticPr fontId="4" type="noConversion"/>
  </si>
  <si>
    <t>사업비
(2차년도 예산 기준) 
(단위:천원)</t>
    <phoneticPr fontId="4" type="noConversion"/>
  </si>
  <si>
    <t>사업비(집행 기준) 
(단위:천원)</t>
    <phoneticPr fontId="4" type="noConversion"/>
  </si>
  <si>
    <t>비고</t>
    <phoneticPr fontId="9" type="noConversion"/>
  </si>
  <si>
    <t>1차년도 
실행실적(실적/목표)</t>
    <phoneticPr fontId="9" type="noConversion"/>
  </si>
  <si>
    <r>
      <t>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지원센터 구축</t>
    </r>
  </si>
  <si>
    <t>AID-X 지원센터 구축 및 운영</t>
    <phoneticPr fontId="4" type="noConversion"/>
  </si>
  <si>
    <t>AP1a</t>
    <phoneticPr fontId="4" type="noConversion"/>
  </si>
  <si>
    <t>AWS C3 인증센터 구축
[이월] e나라 국고시스템 연동 프로그램 구축</t>
    <phoneticPr fontId="4" type="noConversion"/>
  </si>
  <si>
    <t>AWS 연계 센터 구축
AIDX 기술센터 플랫폼 구축
AIDX 기술센터 서버S/W
e나라 국고시스템 연동 프로그램 구축</t>
    <phoneticPr fontId="4" type="noConversion"/>
  </si>
  <si>
    <t>정은애</t>
    <phoneticPr fontId="4" type="noConversion"/>
  </si>
  <si>
    <r>
      <rPr>
        <b/>
        <sz val="11"/>
        <color theme="1"/>
        <rFont val="KoPub돋움체 Medium"/>
        <family val="3"/>
        <charset val="129"/>
      </rPr>
      <t>AWS 연계 센터 구축 미완료</t>
    </r>
    <r>
      <rPr>
        <sz val="11"/>
        <color theme="1"/>
        <rFont val="KoPub돋움체 Medium"/>
        <family val="3"/>
        <charset val="129"/>
      </rPr>
      <t xml:space="preserve">
AIDX 기술센터 플랫폼 구축 완료
AIDX 기술센터 서버S/W 구매 완료
</t>
    </r>
    <r>
      <rPr>
        <b/>
        <sz val="11"/>
        <color theme="1"/>
        <rFont val="KoPub돋움체 Medium"/>
        <family val="3"/>
        <charset val="129"/>
      </rPr>
      <t>e나라 국고시스템 연동 프로그램 구축 진행중</t>
    </r>
  </si>
  <si>
    <t>e나라 국고시스템 연동 프로그램 구축 이월
AWS 연계 센터 구축 이월</t>
    <phoneticPr fontId="9" type="noConversion"/>
  </si>
  <si>
    <t>AI Lab 환경개선
[인센티브] 사업전담직원 전산기기 및 사무실 구축
[이월] AI 워크스테이션</t>
    <phoneticPr fontId="4" type="noConversion"/>
  </si>
  <si>
    <t>사업전담직원 전산기기 및 사무실 구축
AI 워크스테이션
[인센티브] 사업전담직원 전산기기 및 사무실 구축</t>
    <phoneticPr fontId="4" type="noConversion"/>
  </si>
  <si>
    <t>정은애, 채민지</t>
    <phoneticPr fontId="4" type="noConversion"/>
  </si>
  <si>
    <t>사업전담직원 전산기기 및 사무실 구축 완료
AI 워크스테이션 0/3
[인센티브] 사업전담직원 전산기기 및 사무실 구축 미완료</t>
    <phoneticPr fontId="9" type="noConversion"/>
  </si>
  <si>
    <t>AI워크스테이션 이월
[인센티브] 이월</t>
    <phoneticPr fontId="9" type="noConversion"/>
  </si>
  <si>
    <t>P2</t>
    <phoneticPr fontId="4" type="noConversion"/>
  </si>
  <si>
    <r>
      <t>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분야 교원 역량강화 프로그램 운영</t>
    </r>
  </si>
  <si>
    <t>AP3a</t>
    <phoneticPr fontId="4" type="noConversion"/>
  </si>
  <si>
    <t>교원 AI리터러시 역량강화 교육과정 운영
교직원 AIDX 전문성강화 연수</t>
    <phoneticPr fontId="4" type="noConversion"/>
  </si>
  <si>
    <t>교원 AI리터러시 5/5 건
교직원 AIDX 전문성강화 연수 11/10</t>
    <phoneticPr fontId="9" type="noConversion"/>
  </si>
  <si>
    <t>AI·DX 실습재료비</t>
    <phoneticPr fontId="4" type="noConversion"/>
  </si>
  <si>
    <t>S2</t>
    <phoneticPr fontId="4" type="noConversion"/>
  </si>
  <si>
    <t>분야 기술중심 교육과정 운영</t>
    <phoneticPr fontId="4" type="noConversion"/>
  </si>
  <si>
    <t>P3</t>
    <phoneticPr fontId="4" type="noConversion"/>
  </si>
  <si>
    <t>전 학부(과) 참여형 AI DX 교육과정 개발</t>
    <phoneticPr fontId="4" type="noConversion"/>
  </si>
  <si>
    <t>AICE 자격증 과정 운영</t>
    <phoneticPr fontId="4" type="noConversion"/>
  </si>
  <si>
    <t>AI 연계 주문식 교육과정 운영(교과)
AIDX분야 특화과정 운영(비교과)</t>
    <phoneticPr fontId="4" type="noConversion"/>
  </si>
  <si>
    <t>AI 연계 주문식 교육과정 운영(교과) 20/16
AIDX분야 특화과정 운영(비교과) 11/10</t>
    <phoneticPr fontId="9" type="noConversion"/>
  </si>
  <si>
    <t>AI·DX 특화교육과정 운영</t>
    <phoneticPr fontId="4" type="noConversion"/>
  </si>
  <si>
    <t>생성형 AI활용 경진대회
AIDX분야 산업체 인사특강
AIDX분야(활용) 혁신적 교수법 개발</t>
    <phoneticPr fontId="4" type="noConversion"/>
  </si>
  <si>
    <t>정은애, 도지은</t>
    <phoneticPr fontId="4" type="noConversion"/>
  </si>
  <si>
    <t>생성형 AI활용 경진대회 1/1
AIDX분야 산업체 인사특강 9/5
AIDX분야(활용) 혁신적 교수법 개발 8/10</t>
    <phoneticPr fontId="9" type="noConversion"/>
  </si>
  <si>
    <t>P4</t>
    <phoneticPr fontId="4" type="noConversion"/>
  </si>
  <si>
    <r>
      <t>기업 맞춤형 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교육과정 운영</t>
    </r>
  </si>
  <si>
    <t>SLM 챗봇 기반 교과운영 
[인센티브] 기술교육용 LLM 챗봇 개발 정책과제 운영</t>
    <phoneticPr fontId="4" type="noConversion"/>
  </si>
  <si>
    <t>[인센티브] 기술교육용 LLM 챗봇 개발 정책과제 운영
[인센티브] 기술교육용 LLM챗봇 개발 정책과제 운영 지원비</t>
    <phoneticPr fontId="4" type="noConversion"/>
  </si>
  <si>
    <t>채민지</t>
    <phoneticPr fontId="4" type="noConversion"/>
  </si>
  <si>
    <t>0/1건</t>
    <phoneticPr fontId="9" type="noConversion"/>
  </si>
  <si>
    <t>이월</t>
    <phoneticPr fontId="9" type="noConversion"/>
  </si>
  <si>
    <r>
      <t>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자문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컨설팅</t>
    </r>
  </si>
  <si>
    <t>AIDX 기술지도</t>
    <phoneticPr fontId="4" type="noConversion"/>
  </si>
  <si>
    <t>도지은</t>
    <phoneticPr fontId="4" type="noConversion"/>
  </si>
  <si>
    <t>기술지도 17/10 건</t>
    <phoneticPr fontId="9" type="noConversion"/>
  </si>
  <si>
    <t>S3</t>
    <phoneticPr fontId="4" type="noConversion"/>
  </si>
  <si>
    <r>
      <t>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정착을 위한 첨단기술 확보</t>
    </r>
  </si>
  <si>
    <t>P5</t>
    <phoneticPr fontId="4" type="noConversion"/>
  </si>
  <si>
    <r>
      <t>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분야 산학공동연구 및 기술개발</t>
    </r>
  </si>
  <si>
    <r>
      <t>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기술사업화 지원
전자연구노트</t>
    </r>
  </si>
  <si>
    <t>AIDX분야 정책연구</t>
    <phoneticPr fontId="4" type="noConversion"/>
  </si>
  <si>
    <t>AIDX분야 정책연구 2/2</t>
    <phoneticPr fontId="9" type="noConversion"/>
  </si>
  <si>
    <t>[초광역] AI 지역문제해결 프로젝트</t>
    <phoneticPr fontId="4" type="noConversion"/>
  </si>
  <si>
    <t>AIDX분야 산학협력 간담회</t>
    <phoneticPr fontId="4" type="noConversion"/>
  </si>
  <si>
    <t>산학협력간담회 1/3건</t>
    <phoneticPr fontId="9" type="noConversion"/>
  </si>
  <si>
    <t>P6</t>
    <phoneticPr fontId="4" type="noConversion"/>
  </si>
  <si>
    <t>지역 산업체 디지털 전환 가속화를 위한 기술 지원</t>
    <phoneticPr fontId="4" type="noConversion"/>
  </si>
  <si>
    <r>
      <t>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 xml:space="preserve">DX 산학공동연구개발과제 </t>
    </r>
  </si>
  <si>
    <t>AIDX 산학공동연구개발과제</t>
    <phoneticPr fontId="4" type="noConversion"/>
  </si>
  <si>
    <t>산학공동연구개발과제 3/4건</t>
    <phoneticPr fontId="9" type="noConversion"/>
  </si>
  <si>
    <t>Physical AIoT(제조AI) 교육기자재 (Jetson nano 기반) Physical AI 시뮬레이션 SW
Physical AI(MFEC) 실습장비
Physical AI 자율주행 실습장비
[인센티브] Physical AI 디지털 트윈제작장비</t>
    <phoneticPr fontId="4" type="noConversion"/>
  </si>
  <si>
    <t>[인센티브] Physical AIoT(제조) 교육기자재(Jetson nano기반)</t>
    <phoneticPr fontId="4" type="noConversion"/>
  </si>
  <si>
    <t>20/20</t>
    <phoneticPr fontId="9" type="noConversion"/>
  </si>
  <si>
    <t>S4</t>
    <phoneticPr fontId="4" type="noConversion"/>
  </si>
  <si>
    <t>MANI 초광역 협력 기반 인재양성 및 확산체계 구축</t>
    <phoneticPr fontId="4" type="noConversion"/>
  </si>
  <si>
    <t>P7</t>
    <phoneticPr fontId="4" type="noConversion"/>
  </si>
  <si>
    <t>초광역 제조·보건AI 융합을 위한 MANI 공동 인프라 거점 조성</t>
    <phoneticPr fontId="4" type="noConversion"/>
  </si>
  <si>
    <t>MANI-AID 통합 AI·DX 실습 인프라 공동활용 고도화</t>
    <phoneticPr fontId="4" type="noConversion"/>
  </si>
  <si>
    <t>제조AI(스마트공장) 실습장비
nvidia Jetson Thor(로봇제어기)
A6000 워크스테이션
A6000용 모니터
[인센티브] AI 추론용 데스크탑</t>
    <phoneticPr fontId="4" type="noConversion"/>
  </si>
  <si>
    <t>[인센티브] 부울경제(1극1특) 초광역 거버넌스 운영
성과공유회
AIDX 우수사례 국내외 벤치마킹
AIDX분야 세미나/포럼 개최</t>
    <phoneticPr fontId="4" type="noConversion"/>
  </si>
  <si>
    <t>도지은, 채민지</t>
    <phoneticPr fontId="4" type="noConversion"/>
  </si>
  <si>
    <t>[인센티브] 부울경제(1극1특) 초광역 거버넌스 운영 0/1
성과공유회 1/1 
벤치마킹 3/2건
AIDX분야 세미나/포럼 개최 1/1</t>
    <phoneticPr fontId="9" type="noConversion"/>
  </si>
  <si>
    <t>[인센티브] 부울경제(1극1특) 초광역 거버넌스 운영 이월</t>
    <phoneticPr fontId="9" type="noConversion"/>
  </si>
  <si>
    <t>AWS C3 기반 초광역 공동 클라우드 실습 거점 운영</t>
    <phoneticPr fontId="4" type="noConversion"/>
  </si>
  <si>
    <t>AP18a</t>
    <phoneticPr fontId="4" type="noConversion"/>
  </si>
  <si>
    <t>AI Worker(휴머노이드 로봇) 
20DoF 로봇 핸드 
데이터시각화 SW
[인센티브] AI매니퓰레이터 고급형(교육용)</t>
    <phoneticPr fontId="4" type="noConversion"/>
  </si>
  <si>
    <t>AIDX분야 무료 재직자 교육 강사비
AIDX분야 재직자교육 교재 개발비</t>
    <phoneticPr fontId="4" type="noConversion"/>
  </si>
  <si>
    <t>재직자교육 21/16 건</t>
    <phoneticPr fontId="9" type="noConversion"/>
  </si>
  <si>
    <t>P8</t>
    <phoneticPr fontId="4" type="noConversion"/>
  </si>
  <si>
    <t>산업 수요 중심의 실무형 MANI 융합교육 프로그램 운영</t>
    <phoneticPr fontId="4" type="noConversion"/>
  </si>
  <si>
    <t>산업 수요 기반 공동 교과 및 프로젝트 정례 운영</t>
    <phoneticPr fontId="4" type="noConversion"/>
  </si>
  <si>
    <r>
      <t>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초광역 거버넌스 운영
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세미나 
AX 프론티어동아리
[인센티브] 부울경제(1극1특) 초광역 거버넌스 운영</t>
    </r>
  </si>
  <si>
    <t>[인센티브] 울산MANI 프로그램 개발
[인센티브] 울산 MANI 프로그램 운영</t>
    <phoneticPr fontId="4" type="noConversion"/>
  </si>
  <si>
    <t>0/4</t>
    <phoneticPr fontId="9" type="noConversion"/>
  </si>
  <si>
    <r>
      <t>AI</t>
    </r>
    <r>
      <rPr>
        <sz val="11"/>
        <rFont val="Yu Gothic"/>
        <family val="3"/>
        <charset val="128"/>
      </rPr>
      <t>･</t>
    </r>
    <r>
      <rPr>
        <sz val="11"/>
        <rFont val="KoPub돋움체 Medium"/>
        <family val="3"/>
        <charset val="129"/>
      </rPr>
      <t>DX 재직자교육
울산 청년 AX  리더십 컨소시엄</t>
    </r>
  </si>
  <si>
    <t>[인센티브] 디지털배지 정책과제 운영
[인센티브] 울산 MANI 플랫폼 구축(디지털배지 기반)</t>
    <phoneticPr fontId="4" type="noConversion"/>
  </si>
  <si>
    <t>[인센티브] 디지털배지 정책과제 운영 0/1
[인센티브] 울산 MANI 플랫폼 구축(디지털배지 기반) 0/1</t>
    <phoneticPr fontId="9" type="noConversion"/>
  </si>
  <si>
    <t>P9</t>
    <phoneticPr fontId="4" type="noConversion"/>
  </si>
  <si>
    <t>지속 가능한 부울경제 MANI 초광역 협력체계 확립</t>
    <phoneticPr fontId="4" type="noConversion"/>
  </si>
  <si>
    <t>AI·DX 인재 성과 연계 취업·창업 지원 체계 구축</t>
    <phoneticPr fontId="4" type="noConversion"/>
  </si>
  <si>
    <r>
      <t>AI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KoPub돋움체 Medium"/>
        <family val="3"/>
        <charset val="129"/>
      </rPr>
      <t>DX 서포터즈 활동비 
[인센티브] 울산MANI 프로그램 개발</t>
    </r>
  </si>
  <si>
    <t>AI 추론용 데스크탑
AI 교육용 4K 모니터
[인센티브] AI 추론용 데스크탑
[인센티브] AI 교육용 4K 모니터</t>
    <phoneticPr fontId="4" type="noConversion"/>
  </si>
  <si>
    <t>채민지, 도지은</t>
    <phoneticPr fontId="4" type="noConversion"/>
  </si>
  <si>
    <t>AI 추론용 데스크탑 13/13
AI 교육용 4K 모니터 13/13
[인센티브] AI 추론용 데스크탑 0/20
[인센티브] AI 교육용 4K 모니터 20/20</t>
    <phoneticPr fontId="9" type="noConversion"/>
  </si>
  <si>
    <t>[인센티브] AI 추론용 데스크탑 이월</t>
    <phoneticPr fontId="9" type="noConversion"/>
  </si>
  <si>
    <t>디지털배지 기반 성과관리 및 인증 체계 내실화</t>
    <phoneticPr fontId="4" type="noConversion"/>
  </si>
  <si>
    <t>[인센티브] 디지털배지 정책과제 운영</t>
    <phoneticPr fontId="4" type="noConversion"/>
  </si>
  <si>
    <t>마이크로소프트Power BI Pro(데이터분석 및 시각화)</t>
    <phoneticPr fontId="4" type="noConversion"/>
  </si>
  <si>
    <t>구매완료</t>
    <phoneticPr fontId="9" type="noConversion"/>
  </si>
  <si>
    <t>[초광역] AWS 해커톤</t>
    <phoneticPr fontId="4" type="noConversion"/>
  </si>
  <si>
    <t>[인센티브] 울산 MANI 해커톤</t>
    <phoneticPr fontId="4" type="noConversion"/>
  </si>
  <si>
    <t>1/1</t>
    <phoneticPr fontId="9" type="noConversion"/>
  </si>
  <si>
    <t>합계</t>
    <phoneticPr fontId="9" type="noConversion"/>
  </si>
  <si>
    <t>합 계</t>
    <phoneticPr fontId="4" type="noConversion"/>
  </si>
  <si>
    <t>이월</t>
    <phoneticPr fontId="4" type="noConversion"/>
  </si>
  <si>
    <t>[이월] AIDX 우수사례 국내외 벤치마킹</t>
    <phoneticPr fontId="4" type="noConversion"/>
  </si>
  <si>
    <t>[이월] 활동비(여비, 출장, 워크숍, 학회 등)</t>
    <phoneticPr fontId="4" type="noConversion"/>
  </si>
  <si>
    <t>[이월] 사업단관리운영비</t>
    <phoneticPr fontId="4" type="noConversion"/>
  </si>
  <si>
    <t>[이월] SW 기자재 구입</t>
    <phoneticPr fontId="4" type="noConversion"/>
  </si>
  <si>
    <r>
      <t>B-3-가. 지</t>
    </r>
    <r>
      <rPr>
        <b/>
        <sz val="16"/>
        <color theme="1"/>
        <rFont val="Yu Gothic"/>
        <family val="3"/>
        <charset val="128"/>
      </rPr>
      <t>･</t>
    </r>
    <r>
      <rPr>
        <b/>
        <sz val="16"/>
        <color theme="1"/>
        <rFont val="Calibri"/>
        <family val="3"/>
        <charset val="129"/>
        <scheme val="minor"/>
      </rPr>
      <t>산</t>
    </r>
    <r>
      <rPr>
        <b/>
        <sz val="16"/>
        <color theme="1"/>
        <rFont val="Yu Gothic"/>
        <family val="3"/>
        <charset val="128"/>
      </rPr>
      <t>･</t>
    </r>
    <r>
      <rPr>
        <b/>
        <sz val="16"/>
        <color theme="1"/>
        <rFont val="Calibri"/>
        <family val="3"/>
        <charset val="129"/>
        <scheme val="minor"/>
      </rPr>
      <t>학 협력 탄소중립 실천 플랫폼 구축</t>
    </r>
  </si>
  <si>
    <t>잔액</t>
    <phoneticPr fontId="2" type="noConversion"/>
  </si>
  <si>
    <r>
      <t xml:space="preserve">탄소중립/ESG 교육과정 운영(교과) 2.5백만원/건 * 4건 = 10.0백만원
</t>
    </r>
    <r>
      <rPr>
        <u/>
        <sz val="11"/>
        <color theme="1"/>
        <rFont val="KoPub돋움체 Medium"/>
        <family val="3"/>
        <charset val="129"/>
      </rPr>
      <t>(이월)탄소중립/ESG 교육과정 운영  2.6백만원/1건 = 2.6백만원</t>
    </r>
  </si>
  <si>
    <t>탄소중립/ESG분야 유·무료 재직자 교육 500
재직자교육 교재 개발비 250</t>
    <phoneticPr fontId="2" type="noConversion"/>
  </si>
  <si>
    <t>탄소중립/ESG 분야 특화과정 운영(비교과) 15,400
탄소중립/ESG 분야 산업체 인사특강 300
탄소중립/ESG 분야 교원역량강화 교육과정 운영 0</t>
    <phoneticPr fontId="2" type="noConversion"/>
  </si>
  <si>
    <t>탄소중립/ESG 거버넌스 구축활동(간담회등)</t>
    <phoneticPr fontId="2" type="noConversion"/>
  </si>
  <si>
    <t>탄소중립/ESG 분야 실증랩구축(탄소중립지원센터)-환경개선</t>
    <phoneticPr fontId="2" type="noConversion"/>
  </si>
  <si>
    <t>탄소중립/ESG 분야  실증랩과제(탄소중립지원센터)</t>
    <phoneticPr fontId="2" type="noConversion"/>
  </si>
  <si>
    <t>탄소중립지원센터 실증 장비구축(탄소중립지원센터)-장비</t>
    <phoneticPr fontId="2" type="noConversion"/>
  </si>
  <si>
    <r>
      <t xml:space="preserve">탄소중립/ESG 정책연구 1건
</t>
    </r>
    <r>
      <rPr>
        <sz val="11"/>
        <color rgb="FFFF0000"/>
        <rFont val="KoPub돋움체 Medium"/>
        <family val="3"/>
        <charset val="129"/>
      </rPr>
      <t>*지정과제 논의(탄소중립 캠퍼스 구축)</t>
    </r>
  </si>
  <si>
    <r>
      <t xml:space="preserve">[이월] </t>
    </r>
    <r>
      <rPr>
        <u/>
        <sz val="11"/>
        <color theme="1"/>
        <rFont val="Calibri"/>
        <family val="3"/>
        <charset val="129"/>
        <scheme val="minor"/>
      </rPr>
      <t>(시비)</t>
    </r>
    <r>
      <rPr>
        <sz val="11"/>
        <color theme="1"/>
        <rFont val="Calibri"/>
        <family val="2"/>
        <scheme val="minor"/>
      </rPr>
      <t xml:space="preserve"> 탄소중립/ESG 교육과정 운영  2.6백만원/1건 = 2.6백만원</t>
    </r>
  </si>
  <si>
    <t>[이월] 활동비 3백만원/년 * 1년 = 3백만원</t>
    <phoneticPr fontId="2" type="noConversion"/>
  </si>
  <si>
    <t>[이월] 사업단관리운영비 9백만원/년 * 1년 = 9백만원</t>
    <phoneticPr fontId="2" type="noConversion"/>
  </si>
  <si>
    <t>활동비 3백만원/년 * 1년 = 3백만원</t>
    <phoneticPr fontId="2" type="noConversion"/>
  </si>
  <si>
    <t>사업단관리운영비 9백만원/년 * 1년 = 9백만원</t>
    <phoneticPr fontId="2" type="noConversion"/>
  </si>
  <si>
    <t>[이월] 플랫폼 구축&gt;&gt; B1으로 이동</t>
    <phoneticPr fontId="2" type="noConversion"/>
  </si>
  <si>
    <t>B1) 191,500</t>
    <phoneticPr fontId="2" type="noConversion"/>
  </si>
  <si>
    <t>도지은</t>
  </si>
  <si>
    <r>
      <t xml:space="preserve">복합재난분야 특화과정 운영(비교과) 3백만원/건 * </t>
    </r>
    <r>
      <rPr>
        <sz val="11"/>
        <color theme="1"/>
        <rFont val="맑은 고딕"/>
        <family val="3"/>
        <charset val="129"/>
      </rPr>
      <t>5</t>
    </r>
    <r>
      <rPr>
        <sz val="11"/>
        <color theme="1"/>
        <rFont val="KoPubDotum Medium"/>
        <charset val="129"/>
      </rPr>
      <t>건 = 1</t>
    </r>
    <r>
      <rPr>
        <sz val="11"/>
        <color theme="1"/>
        <rFont val="맑은 고딕"/>
        <family val="3"/>
        <charset val="129"/>
      </rPr>
      <t>3.5</t>
    </r>
    <r>
      <rPr>
        <sz val="11"/>
        <color theme="1"/>
        <rFont val="KoPubDotum Medium"/>
        <charset val="129"/>
      </rPr>
      <t xml:space="preserve">백만원
</t>
    </r>
    <r>
      <rPr>
        <u/>
        <sz val="11"/>
        <color theme="1"/>
        <rFont val="KoPubDotum Medium"/>
        <family val="3"/>
      </rPr>
      <t>[</t>
    </r>
    <r>
      <rPr>
        <u/>
        <sz val="11"/>
        <color theme="1"/>
        <rFont val="맑은 고딕"/>
        <family val="3"/>
        <charset val="129"/>
      </rPr>
      <t>이월</t>
    </r>
    <r>
      <rPr>
        <u/>
        <sz val="11"/>
        <color theme="1"/>
        <rFont val="KoPubDotum Medium"/>
        <family val="3"/>
      </rPr>
      <t xml:space="preserve">] </t>
    </r>
    <r>
      <rPr>
        <u/>
        <sz val="11"/>
        <color theme="1"/>
        <rFont val="맑은 고딕"/>
        <family val="3"/>
        <charset val="129"/>
      </rPr>
      <t>복합재난</t>
    </r>
    <r>
      <rPr>
        <u/>
        <sz val="11"/>
        <color theme="1"/>
        <rFont val="KoPubDotum Medium"/>
        <family val="3"/>
      </rPr>
      <t xml:space="preserve"> </t>
    </r>
    <r>
      <rPr>
        <u/>
        <sz val="11"/>
        <color theme="1"/>
        <rFont val="맑은 고딕"/>
        <family val="3"/>
        <charset val="129"/>
      </rPr>
      <t>대응</t>
    </r>
    <r>
      <rPr>
        <u/>
        <sz val="11"/>
        <color theme="1"/>
        <rFont val="KoPubDotum Medium"/>
        <family val="3"/>
      </rPr>
      <t xml:space="preserve"> </t>
    </r>
    <r>
      <rPr>
        <u/>
        <sz val="11"/>
        <color theme="1"/>
        <rFont val="맑은 고딕"/>
        <family val="3"/>
        <charset val="129"/>
      </rPr>
      <t>교육프로그램</t>
    </r>
    <r>
      <rPr>
        <u/>
        <sz val="11"/>
        <color theme="1"/>
        <rFont val="KoPubDotum Medium"/>
        <family val="3"/>
      </rPr>
      <t xml:space="preserve"> </t>
    </r>
    <r>
      <rPr>
        <u/>
        <sz val="11"/>
        <color theme="1"/>
        <rFont val="맑은 고딕"/>
        <family val="3"/>
        <charset val="129"/>
      </rPr>
      <t>운영</t>
    </r>
    <r>
      <rPr>
        <u/>
        <sz val="11"/>
        <color theme="1"/>
        <rFont val="KoPubDotum Medium"/>
        <family val="3"/>
      </rPr>
      <t xml:space="preserve"> 1</t>
    </r>
    <r>
      <rPr>
        <u/>
        <sz val="11"/>
        <color theme="1"/>
        <rFont val="맑은 고딕"/>
        <family val="3"/>
        <charset val="129"/>
      </rPr>
      <t>건</t>
    </r>
    <r>
      <rPr>
        <u/>
        <sz val="11"/>
        <color theme="1"/>
        <rFont val="KoPubDotum Medium"/>
        <family val="3"/>
      </rPr>
      <t xml:space="preserve"> * 3.5</t>
    </r>
    <r>
      <rPr>
        <u/>
        <sz val="11"/>
        <color theme="1"/>
        <rFont val="맑은 고딕"/>
        <family val="3"/>
        <charset val="129"/>
      </rPr>
      <t>백만원</t>
    </r>
    <r>
      <rPr>
        <u/>
        <sz val="11"/>
        <color theme="1"/>
        <rFont val="KoPubDotum Medium"/>
        <family val="3"/>
      </rPr>
      <t xml:space="preserve"> = 3.5</t>
    </r>
    <r>
      <rPr>
        <u/>
        <sz val="11"/>
        <color theme="1"/>
        <rFont val="맑은 고딕"/>
        <family val="3"/>
        <charset val="129"/>
      </rPr>
      <t>백만원</t>
    </r>
  </si>
  <si>
    <r>
      <t>복합재난대응 아이디어 경진대회(지속가능캠퍼스 경진대회-B</t>
    </r>
    <r>
      <rPr>
        <sz val="11"/>
        <color theme="1"/>
        <rFont val="맑은 고딕"/>
        <family val="3"/>
        <charset val="129"/>
      </rPr>
      <t>3</t>
    </r>
    <r>
      <rPr>
        <sz val="11"/>
        <color theme="1"/>
        <rFont val="KoPubDotum Medium"/>
        <charset val="129"/>
      </rPr>
      <t>연계)</t>
    </r>
  </si>
  <si>
    <r>
      <t>AP2</t>
    </r>
    <r>
      <rPr>
        <sz val="11"/>
        <color rgb="FF000000"/>
        <rFont val="KoPub돋움체 Medium"/>
        <family val="3"/>
        <charset val="129"/>
      </rPr>
      <t>b</t>
    </r>
  </si>
  <si>
    <r>
      <t xml:space="preserve">복합재난 대응 콘텐츠 제작 협업 49.0백만원/건 * 1건 = 49.0백만원 1단계
</t>
    </r>
    <r>
      <rPr>
        <u/>
        <sz val="11"/>
        <color theme="1"/>
        <rFont val="KoPubDotum Medium"/>
        <family val="2"/>
      </rPr>
      <t>(이월) 복합재난 대응 콘텐츠 제작 협업 51.0백만원/건 * 1건 = 51.0백만원 2단계</t>
    </r>
  </si>
  <si>
    <r>
      <t>AP</t>
    </r>
    <r>
      <rPr>
        <sz val="11"/>
        <color rgb="FF000000"/>
        <rFont val="맑은 고딕"/>
        <family val="3"/>
        <charset val="129"/>
      </rPr>
      <t>5</t>
    </r>
    <r>
      <rPr>
        <sz val="11"/>
        <color rgb="FF000000"/>
        <rFont val="KoPubDotum Medium"/>
        <charset val="129"/>
      </rPr>
      <t>a</t>
    </r>
  </si>
  <si>
    <t>재난 및 산업안전 재직자교육(산업현장 교육프로그램 운영)</t>
    <phoneticPr fontId="2" type="noConversion"/>
  </si>
  <si>
    <t>복합재난분야 재직자교육 교재 개발비 0.5백만원/건 * 7건 = 3.5백만원
복합재난분야 유료 재직자 교육 운영비 1백만원/건 * 1건 = 1.0백만원
복합재난분야 무료 재직자 교육 운영비 0.5백만원/건 * 7건 = 3.7백만원</t>
    <phoneticPr fontId="2" type="noConversion"/>
  </si>
  <si>
    <r>
      <t>AP6</t>
    </r>
    <r>
      <rPr>
        <sz val="11"/>
        <color rgb="FF000000"/>
        <rFont val="KoPub돋움체 Medium"/>
        <family val="3"/>
        <charset val="129"/>
      </rPr>
      <t>a</t>
    </r>
  </si>
  <si>
    <r>
      <t>AP</t>
    </r>
    <r>
      <rPr>
        <sz val="11"/>
        <color rgb="FF000000"/>
        <rFont val="맑은 고딕"/>
        <family val="3"/>
        <charset val="129"/>
      </rPr>
      <t>7</t>
    </r>
    <r>
      <rPr>
        <sz val="11"/>
        <color rgb="FF000000"/>
        <rFont val="KoPubDotum Medium"/>
        <charset val="129"/>
      </rPr>
      <t>a</t>
    </r>
  </si>
  <si>
    <t>산업안전 보건교육장 구축 50백만원/건 * 1건 = 50백만원</t>
    <phoneticPr fontId="2" type="noConversion"/>
  </si>
  <si>
    <t>시설관리팀</t>
    <phoneticPr fontId="2" type="noConversion"/>
  </si>
  <si>
    <r>
      <t xml:space="preserve">복합재난 대응 VR컨텐츠 실습장비 9백만원/set * 6set = 54백만원
</t>
    </r>
    <r>
      <rPr>
        <u/>
        <sz val="11"/>
        <color theme="1"/>
        <rFont val="KoPubDotum Medium"/>
        <charset val="129"/>
      </rPr>
      <t>[이월] 복합재난 대응 VR컨텐츠 실습장비 및 기자재 13.4만원 * 1건 = 13.4백만원</t>
    </r>
  </si>
  <si>
    <t>복합재난분야 거버넌스 구축활동(간담회 포함)</t>
    <phoneticPr fontId="2" type="noConversion"/>
  </si>
  <si>
    <r>
      <t>AP12</t>
    </r>
    <r>
      <rPr>
        <sz val="11"/>
        <color rgb="FF000000"/>
        <rFont val="맑은 고딕"/>
        <family val="3"/>
        <charset val="129"/>
      </rPr>
      <t>c</t>
    </r>
  </si>
  <si>
    <t>복합재난 분야 세미나/포럼 개최 2백만원/건 * 2건 = 4백만원</t>
    <phoneticPr fontId="2" type="noConversion"/>
  </si>
  <si>
    <t>[이월] 복합재난 대응 콘텐츠 제작 협업 51.0백만원/건 * 1건 = 51.0백만원 2단계</t>
    <phoneticPr fontId="2" type="noConversion"/>
  </si>
  <si>
    <t>[이월] 복합재난 대응 VR컨텐츠 실습장비 및 기자재 13.4만원 * 1건 = 13.4백만원</t>
    <phoneticPr fontId="2" type="noConversion"/>
  </si>
  <si>
    <t>[이월] 복합재난 대응 교육프로그램 운영 1건 * 3.5백만원 = 3.5백만원</t>
    <phoneticPr fontId="2" type="noConversion"/>
  </si>
  <si>
    <t>[이월] 활동비 3백만원 * 1년 = 3백만원</t>
    <phoneticPr fontId="2" type="noConversion"/>
  </si>
  <si>
    <t>사업단관리운영비(자체회계감사, 기타업무추진, 회의비, 수용비, 홍보비 등) 9백만원/년 * 1년 = 9백만원</t>
    <phoneticPr fontId="2" type="noConversion"/>
  </si>
  <si>
    <t xml:space="preserve">울산
RISE </t>
  </si>
  <si>
    <t>C. 다시 뛰게 만드는 생애 '직무도약' 체계 구축</t>
  </si>
  <si>
    <t>울산
RISE</t>
    <phoneticPr fontId="5" type="noConversion"/>
  </si>
  <si>
    <t>C-1. 울산형 평생∙직업교육대학 U-RUN 구축</t>
  </si>
  <si>
    <t>울산
과학대</t>
    <phoneticPr fontId="5" type="noConversion"/>
  </si>
  <si>
    <t>C-1-가. U_LIFE 평생직업교육 기반 취∙창업 연계모델 구축</t>
  </si>
  <si>
    <t>2차년도 사업비</t>
    <phoneticPr fontId="5" type="noConversion"/>
  </si>
  <si>
    <r>
      <t xml:space="preserve">1차년도 사업비
</t>
    </r>
    <r>
      <rPr>
        <b/>
        <sz val="12"/>
        <color theme="4"/>
        <rFont val="Calibri"/>
        <family val="3"/>
        <charset val="129"/>
        <scheme val="minor"/>
      </rPr>
      <t>(**1차년도 이월금중 26년 신규사업으로 분류된 예산은 2차년도 사업비에 기재 요망)</t>
    </r>
  </si>
  <si>
    <t>울산과학대학교 RISE 추진전략</t>
  </si>
  <si>
    <t>울산과학대학교 RISE 추진과제</t>
  </si>
  <si>
    <t>울산과학대학교 RISE Action Plan</t>
  </si>
  <si>
    <t>프로그램상세</t>
  </si>
  <si>
    <t>사업비 예산
(천원)</t>
  </si>
  <si>
    <t>기준일 현재
집행액
(천원)</t>
  </si>
  <si>
    <t>기준일 현재
집행율(%)</t>
  </si>
  <si>
    <t xml:space="preserve"> 비고 </t>
  </si>
  <si>
    <t>아카데미별 거버넌스 운영</t>
  </si>
  <si>
    <t xml:space="preserve"> 이연향 </t>
  </si>
  <si>
    <t>평생학습관 환경개선</t>
  </si>
  <si>
    <t>환경개선(e나라연동시스템)</t>
  </si>
  <si>
    <t>본부</t>
  </si>
  <si>
    <t>평생직업교육관련 기자재</t>
  </si>
  <si>
    <t>환경개선</t>
  </si>
  <si>
    <t>평생학습 박람회 및 성과공유회</t>
  </si>
  <si>
    <t>평생교육통합 플랫폼 활용 확산 및 학습이력 관리 체계 정착</t>
  </si>
  <si>
    <t>울산형평생교육플랫폼구축-&gt;자체홈페이지플랫폼구축으로 변경필요(예산미정)</t>
  </si>
  <si>
    <t xml:space="preserve">                                -</t>
  </si>
  <si>
    <t>울산형 교육통합 플랫폼 참여 확대 및 기관 간 데이터 연계 강화</t>
  </si>
  <si>
    <t>생애주기·직무수준 기반 맞춤형 학습트랙 운영업 역량 강화 및 창업 인프라 구축</t>
  </si>
  <si>
    <t>자격연계형 모듈·단기·집중 직무과정 확대 운영</t>
  </si>
  <si>
    <t>자격증 취득지원</t>
  </si>
  <si>
    <t>울산형 성인학습자 특화 학과 개설 및 운영및 창업 인프라 구축</t>
  </si>
  <si>
    <t>성인학습자를 위한 맞춤형 학과 개설 지원 확대</t>
  </si>
  <si>
    <t>성인학습자 학과 환경개선</t>
  </si>
  <si>
    <t>AP6b</t>
  </si>
  <si>
    <t>성인학습자 학과 기자재 구축</t>
  </si>
  <si>
    <t>모듈–학점–학위 연계형 성인학습자 유입 확대 및 학사지원 강화</t>
  </si>
  <si>
    <t>AP5b</t>
  </si>
  <si>
    <t>평생직업교육활성화 정책연구</t>
  </si>
  <si>
    <t>지역산업 수요기반 취·창업 평생학습 프로그램 운영</t>
  </si>
  <si>
    <t xml:space="preserve">생애주기별 직무역량 강화 프로그램 체계화 </t>
  </si>
  <si>
    <t>교육–자격–취·창업 연계 로드맵 운영 및 성과 모니터링 체계 구축</t>
  </si>
  <si>
    <t>산업체와의 실무중심의 교육 프로그램 개발 및 운영</t>
  </si>
  <si>
    <t>평생직업교육과정 개발</t>
  </si>
  <si>
    <t>성인학습자 대상 지원 프로그램 운영</t>
  </si>
  <si>
    <t>성인학습자 학습지원 프로그램</t>
  </si>
  <si>
    <t>AP11b</t>
  </si>
  <si>
    <t>평생교육참여학습자장학금</t>
  </si>
  <si>
    <t>AP11c</t>
  </si>
  <si>
    <t>운영보조인력 지원</t>
  </si>
  <si>
    <t>지역산업 연계 맞춤형 직업교육 과정 운영</t>
  </si>
  <si>
    <t>스마트테크 아카데미 교육프로그램운영</t>
  </si>
  <si>
    <t>라이프케어아카데미 교육프로그램운영</t>
  </si>
  <si>
    <t>지역 산업 맞춤형 교육 콘텐츠 개발</t>
  </si>
  <si>
    <t>지자체·중소기업 협력 기반 현장밀착형 맞춤 직업교육 운영 확대</t>
  </si>
  <si>
    <t>로컬창업아카데미 교육프로그램운영</t>
  </si>
  <si>
    <t>AP14b</t>
  </si>
  <si>
    <t>팝업아카데미 교육프로그램운영</t>
  </si>
  <si>
    <t>C1 2차년도 총 사업비</t>
  </si>
  <si>
    <t>C1 1차년도 총 사업비</t>
  </si>
  <si>
    <t>1차년도 총예산</t>
    <phoneticPr fontId="3" type="noConversion"/>
  </si>
  <si>
    <t>인건비</t>
    <phoneticPr fontId="3" type="noConversion"/>
  </si>
  <si>
    <t>사용예산</t>
    <phoneticPr fontId="3" type="noConversion"/>
  </si>
  <si>
    <t>그 밖의 사업경비</t>
    <phoneticPr fontId="3" type="noConversion"/>
  </si>
  <si>
    <t>이월예산</t>
    <phoneticPr fontId="3" type="noConversion"/>
  </si>
  <si>
    <t>(이월사업)그 밖의 사업 경비</t>
    <phoneticPr fontId="3" type="noConversion"/>
  </si>
  <si>
    <t>간접비</t>
    <phoneticPr fontId="3" type="noConversion"/>
  </si>
  <si>
    <r>
      <rPr>
        <b/>
        <sz val="16"/>
        <color theme="1"/>
        <rFont val="Calibri Light"/>
        <family val="3"/>
        <charset val="129"/>
        <scheme val="major"/>
      </rPr>
      <t>1차년도 사업비</t>
    </r>
    <r>
      <rPr>
        <b/>
        <sz val="14"/>
        <color theme="1"/>
        <rFont val="Calibri Light"/>
        <family val="3"/>
        <charset val="129"/>
        <scheme val="major"/>
      </rPr>
      <t xml:space="preserve">
</t>
    </r>
    <r>
      <rPr>
        <b/>
        <sz val="12"/>
        <color theme="8" tint="-0.249977111117893"/>
        <rFont val="Calibri Light"/>
        <family val="3"/>
        <charset val="129"/>
        <scheme val="major"/>
      </rPr>
      <t>(**1차년도 이월금중 26년 신규사업으로 분류된 예산은 2차년도 사업비에 기재 요망)</t>
    </r>
  </si>
  <si>
    <t>사업비 예산
(천원)</t>
    <phoneticPr fontId="13" type="noConversion"/>
  </si>
  <si>
    <t>기준일 현재 
집행액
(천원)</t>
    <phoneticPr fontId="13" type="noConversion"/>
  </si>
  <si>
    <t>기준일 현재 
집행율(%)</t>
    <phoneticPr fontId="13" type="noConversion"/>
  </si>
  <si>
    <t>담당자</t>
    <phoneticPr fontId="13" type="noConversion"/>
  </si>
  <si>
    <t>프로그램 상세</t>
    <phoneticPr fontId="13" type="noConversion"/>
  </si>
  <si>
    <t>기준일 현재
집행액
(천원)</t>
    <phoneticPr fontId="13" type="noConversion"/>
  </si>
  <si>
    <t>기준일 현재
집행율(%)</t>
    <phoneticPr fontId="13" type="noConversion"/>
  </si>
  <si>
    <t>비고</t>
    <phoneticPr fontId="13" type="noConversion"/>
  </si>
  <si>
    <t>연간 운영할 수 있는 방과후 형태의 늘봄 프로그램 개발</t>
    <phoneticPr fontId="2" type="noConversion"/>
  </si>
  <si>
    <t>-</t>
    <phoneticPr fontId="2" type="noConversion"/>
  </si>
  <si>
    <t>최주명</t>
    <phoneticPr fontId="2" type="noConversion"/>
  </si>
  <si>
    <t>연간늘봄
800*9건</t>
    <phoneticPr fontId="2" type="noConversion"/>
  </si>
  <si>
    <t>늘봄허브 및 개별 네트워크를 통한 방과후 늘봄 프로그램 운영(적용)</t>
    <phoneticPr fontId="2" type="noConversion"/>
  </si>
  <si>
    <t>김예지</t>
  </si>
  <si>
    <t>소외지역</t>
    <phoneticPr fontId="2" type="noConversion"/>
  </si>
  <si>
    <t>늘봄허브 및 개별 네트워크를 통한 방과후 늘봄 프로그램 운영(적용)
(이월)  4월 소외지역 늘봄 프로그램 교통비 지출</t>
    <phoneticPr fontId="2" type="noConversion"/>
  </si>
  <si>
    <t>온동네돌봄
(지역아동센터)</t>
    <phoneticPr fontId="2" type="noConversion"/>
  </si>
  <si>
    <t>늘봄허브 및 개별 네트워크를 통한 방과후 늘봄 프로그램 운영(적용)
(이월)  4월 3D펜 프로그램 유치원 강사료 지출</t>
    <phoneticPr fontId="2" type="noConversion"/>
  </si>
  <si>
    <t>소외계층, 지역사회, 학교 등에 적용 가능한 방학 늘봄 프로그램 개발</t>
    <phoneticPr fontId="2" type="noConversion"/>
  </si>
  <si>
    <t>황수진</t>
    <phoneticPr fontId="2" type="noConversion"/>
  </si>
  <si>
    <t>산학연계활동</t>
    <phoneticPr fontId="2" type="noConversion"/>
  </si>
  <si>
    <t>일반형, 캠프형 등 다양한 형태의 늘봄 프로그램 운영(적용)</t>
    <phoneticPr fontId="2" type="noConversion"/>
  </si>
  <si>
    <t>늘봄프로그램
운영지원1</t>
    <phoneticPr fontId="2" type="noConversion"/>
  </si>
  <si>
    <t>대학 중심 협력체계 구축 및 네트워크 형성</t>
    <phoneticPr fontId="2" type="noConversion"/>
  </si>
  <si>
    <t>동남권연계
800*2건</t>
    <phoneticPr fontId="2" type="noConversion"/>
  </si>
  <si>
    <t>유관기관 중심 협력체계 구축 및 네트워크 형성</t>
    <phoneticPr fontId="2" type="noConversion"/>
  </si>
  <si>
    <t>김예지</t>
    <phoneticPr fontId="2" type="noConversion"/>
  </si>
  <si>
    <t>정책연구
400*3건</t>
    <phoneticPr fontId="2" type="noConversion"/>
  </si>
  <si>
    <t>늘돌봄 역량 배양을 위한 강사양성과정 프로그램 개발</t>
    <phoneticPr fontId="2" type="noConversion"/>
  </si>
  <si>
    <t>늘돌봄 역량 배양을 위한 강사양성과정 프로그램 개발
(이월) 강사양성과정 운영</t>
    <phoneticPr fontId="2" type="noConversion"/>
  </si>
  <si>
    <t xml:space="preserve">양성된 강사의 현장 매칭 및 보급 </t>
    <phoneticPr fontId="2" type="noConversion"/>
  </si>
  <si>
    <t>맞춤형돌봄
수업준비물1</t>
    <phoneticPr fontId="2" type="noConversion"/>
  </si>
  <si>
    <t>양성된 강사의 현장 매칭 및 보급 
(이월) 전자비품 및 일반비품 관련</t>
    <phoneticPr fontId="2" type="noConversion"/>
  </si>
  <si>
    <t>맞춤형돌봄
수업준비물2</t>
  </si>
  <si>
    <t>양성된 강사의 현장 매칭 및 보급 
(이월) 체육관련 늘봄 기자재 및 비품</t>
    <phoneticPr fontId="2" type="noConversion"/>
  </si>
  <si>
    <r>
      <t>데이터 기반 품질관리</t>
    </r>
    <r>
      <rPr>
        <sz val="10"/>
        <color theme="1"/>
        <rFont val="MS UI Gothic"/>
        <family val="1"/>
        <charset val="1"/>
      </rPr>
      <t>․</t>
    </r>
    <r>
      <rPr>
        <sz val="10"/>
        <color theme="1"/>
        <rFont val="KoPubDotum Medium"/>
        <family val="1"/>
        <charset val="129"/>
      </rPr>
      <t>성과확산 선순환</t>
    </r>
  </si>
  <si>
    <t>늘봄愛 플랫폼을 통한 성과관리</t>
    <phoneticPr fontId="2" type="noConversion"/>
  </si>
  <si>
    <t>홈페이지
유지 관리비</t>
    <phoneticPr fontId="2" type="noConversion"/>
  </si>
  <si>
    <t>늘봄愛 플랫폼을 통한 성과관리
(이월) 늘봄 기자재 관련 분출 대장 등 관리 시스템 개발</t>
    <phoneticPr fontId="2" type="noConversion"/>
  </si>
  <si>
    <t>성과확산 패키지 발행(SNS, 유튜브, 홍보영상 등)</t>
    <phoneticPr fontId="2" type="noConversion"/>
  </si>
  <si>
    <t>늘봄교육환경 
개선비</t>
    <phoneticPr fontId="2" type="noConversion"/>
  </si>
  <si>
    <t>성과확산 패키지 발행(SNS, 유튜브, 홍보영상 등)
(이월) 늘봄 교육환경 개선비</t>
    <phoneticPr fontId="2" type="noConversion"/>
  </si>
  <si>
    <t>영상장비거치대</t>
    <phoneticPr fontId="2" type="noConversion"/>
  </si>
  <si>
    <t>공동브랜드 대표 모듈 확산(성과공유 포럼/워크숍 정례 운영)</t>
    <phoneticPr fontId="2" type="noConversion"/>
  </si>
  <si>
    <t>늘봄협의체 
운영 및 간담회</t>
    <phoneticPr fontId="2" type="noConversion"/>
  </si>
  <si>
    <t>공동브랜드 대표 모듈 확산(성과공유 포럼/워크숍 정례 운영)
(이월) 늘봄협의체 구성 및 간담회</t>
    <phoneticPr fontId="2" type="noConversion"/>
  </si>
  <si>
    <t>늘봄 
성과공유회</t>
    <phoneticPr fontId="2" type="noConversion"/>
  </si>
  <si>
    <t>공동브랜드 대표 모듈 확산(성과공유 포럼/워크숍 정례 운영)
(이월) 세미나 포럼 개최</t>
    <phoneticPr fontId="2" type="noConversion"/>
  </si>
  <si>
    <t>K-pop, 브리지 게임, 지역특화 등을 중심으로 프로그램 개발 및 고도화</t>
    <phoneticPr fontId="2" type="noConversion"/>
  </si>
  <si>
    <t>지역특화
800*2건</t>
    <phoneticPr fontId="2" type="noConversion"/>
  </si>
  <si>
    <r>
      <t>동남권 지역자원</t>
    </r>
    <r>
      <rPr>
        <sz val="10"/>
        <color theme="1"/>
        <rFont val="MS UI Gothic"/>
        <family val="1"/>
        <charset val="1"/>
      </rPr>
      <t>․</t>
    </r>
    <r>
      <rPr>
        <sz val="10"/>
        <color theme="1"/>
        <rFont val="KoPubDotum Medium"/>
        <family val="1"/>
        <charset val="129"/>
      </rPr>
      <t>대학역량 결합 특화패키지 확산</t>
    </r>
  </si>
  <si>
    <t xml:space="preserve">늘봄·체험 프로그램 이용자 40명 이상 확보(학교 적용 확대 운영) </t>
    <phoneticPr fontId="2" type="noConversion"/>
  </si>
  <si>
    <t>늘봄프로그램
운영지원2</t>
    <phoneticPr fontId="2" type="noConversion"/>
  </si>
  <si>
    <t>학과특성 반영 늘봄 프로그램 개발</t>
    <phoneticPr fontId="2" type="noConversion"/>
  </si>
  <si>
    <t>학과특성
800*3건</t>
    <phoneticPr fontId="2" type="noConversion"/>
  </si>
  <si>
    <t>C2 2차년도 총 사업비</t>
  </si>
  <si>
    <t>최종이월금 편성예산</t>
    <phoneticPr fontId="2" type="noConversion"/>
  </si>
  <si>
    <t>이월금 집행액</t>
    <phoneticPr fontId="13" type="noConversion"/>
  </si>
  <si>
    <t>(이월) 그 밖의 사업 경비</t>
    <phoneticPr fontId="13" type="noConversion"/>
  </si>
  <si>
    <t>이월금</t>
    <phoneticPr fontId="13" type="noConversion"/>
  </si>
  <si>
    <t>늘봄 2025년 이월금</t>
    <phoneticPr fontId="2" type="noConversion"/>
  </si>
  <si>
    <t>울산
RISE</t>
  </si>
  <si>
    <t>D. 지역생활 안전의료 정주 협력체계 구축</t>
  </si>
  <si>
    <t>D-1. 지역 현안과제 해결형(LBA) 협력체계 구축</t>
  </si>
  <si>
    <t>D-1-가. 지역문제해결을 위한 울산형 혁신 솔루션 구축</t>
  </si>
  <si>
    <r>
      <rPr>
        <sz val="12"/>
        <color theme="1"/>
        <rFont val="Malgun Gothic"/>
        <family val="2"/>
        <charset val="129"/>
      </rPr>
      <t>울산과학대학교</t>
    </r>
    <r>
      <rPr>
        <sz val="12"/>
        <color theme="1"/>
        <rFont val="KoPubDotum Medium"/>
        <family val="2"/>
      </rPr>
      <t xml:space="preserve"> RISE </t>
    </r>
    <r>
      <rPr>
        <sz val="12"/>
        <color theme="1"/>
        <rFont val="Malgun Gothic"/>
        <family val="2"/>
        <charset val="129"/>
      </rPr>
      <t>추진전략</t>
    </r>
  </si>
  <si>
    <t>울산과학대학교 RISE 추진과제</t>
    <phoneticPr fontId="5" type="noConversion"/>
  </si>
  <si>
    <r>
      <t>울산과학대학교 RISE Action Plan</t>
    </r>
    <r>
      <rPr>
        <sz val="12"/>
        <color theme="1"/>
        <rFont val="맑은 고딕"/>
        <family val="2"/>
        <charset val="129"/>
      </rPr>
      <t>(*)</t>
    </r>
  </si>
  <si>
    <t>프로그램
코드</t>
    <phoneticPr fontId="5" type="noConversion"/>
  </si>
  <si>
    <t>프로그램 상세</t>
    <phoneticPr fontId="5" type="noConversion"/>
  </si>
  <si>
    <t>사업비 예산
(천원)</t>
    <phoneticPr fontId="5" type="noConversion"/>
  </si>
  <si>
    <t>기준일 현재 
집행액
(천원)</t>
    <phoneticPr fontId="5" type="noConversion"/>
  </si>
  <si>
    <t>기준일 현재 
집행율(%)</t>
    <phoneticPr fontId="5" type="noConversion"/>
  </si>
  <si>
    <t>담당자</t>
    <phoneticPr fontId="5" type="noConversion"/>
  </si>
  <si>
    <t>기준일 현재
집행액
(천원)</t>
    <phoneticPr fontId="5" type="noConversion"/>
  </si>
  <si>
    <t>기준일 현재
집행율(%)</t>
    <phoneticPr fontId="5" type="noConversion"/>
  </si>
  <si>
    <t>비고</t>
    <phoneticPr fontId="5" type="noConversion"/>
  </si>
  <si>
    <t>지역기반 문제해결형 프로젝트 추진</t>
  </si>
  <si>
    <t>지역전문가와 함께하는 지역문제해결 프로젝트 수행</t>
  </si>
  <si>
    <t>지역문제해결 프로젝트(캡스톤 디자인 등) 운영</t>
  </si>
  <si>
    <t>지역사회문제해결교육과정 Re;Think 울산 운영</t>
  </si>
  <si>
    <t>김소정</t>
  </si>
  <si>
    <t>지역사회문제해결 프로젝트</t>
  </si>
  <si>
    <t>지역사회문제해결 프로젝트(캡스톤디자인)</t>
  </si>
  <si>
    <r>
      <rPr>
        <sz val="11"/>
        <color rgb="FF000000"/>
        <rFont val="KoPub돋움체 Medium"/>
        <family val="3"/>
        <charset val="129"/>
      </rPr>
      <t xml:space="preserve">지역사회문제해결 동아리 운영
</t>
    </r>
    <r>
      <rPr>
        <sz val="11"/>
        <color rgb="FFFF0000"/>
        <rFont val="KoPub돋움체 Medium"/>
        <family val="3"/>
        <charset val="129"/>
      </rPr>
      <t>(이월) 지역사회문제해결 동아리 운영</t>
    </r>
  </si>
  <si>
    <t>지역사회문제해결역량강화교육(재학생)</t>
  </si>
  <si>
    <t>분야별 지역전문가 풀(Pool) 구축 및 매칭 운영</t>
  </si>
  <si>
    <t>지역협력협의체운영</t>
  </si>
  <si>
    <t>AP2b</t>
  </si>
  <si>
    <t>지역기관과의 거버넌스 구축</t>
  </si>
  <si>
    <t>AP2c</t>
  </si>
  <si>
    <t>지역문제해결 플랫폼 구축</t>
  </si>
  <si>
    <t>지역의 현안해결을 위한 주민참여 확산형 리빙랩 운영</t>
  </si>
  <si>
    <t>생활밀착형 주민 제안 리빙랩 운영</t>
  </si>
  <si>
    <t>지역사회문제해결 리빙랩 운영</t>
  </si>
  <si>
    <t>AP3b</t>
  </si>
  <si>
    <t>Day Out in 울산 프로그램 운영</t>
  </si>
  <si>
    <t>(이월) Day Out in 울산 프로그램 운영</t>
  </si>
  <si>
    <t>리빙랩 현장 코디네이터 지정 및 반복 개선 체계 구축</t>
  </si>
  <si>
    <t>지역사회모델 정책연구</t>
  </si>
  <si>
    <t>지역사회모델 정책연구
정책연구 연구진 구성 및 워크숍</t>
  </si>
  <si>
    <t>AP4b</t>
  </si>
  <si>
    <t>지역사회문제해결역량강화교육(지역주민)</t>
  </si>
  <si>
    <t>울산형 2주기 RISE 모델 설계 및 지역연계 실행체계 구축</t>
  </si>
  <si>
    <r>
      <t>지역 현안 기반 과제 발굴 및 시범과제 기획</t>
    </r>
    <r>
      <rPr>
        <sz val="11"/>
        <color rgb="FF000000"/>
        <rFont val="맑은 고딕"/>
        <family val="3"/>
        <charset val="129"/>
      </rPr>
      <t>〮</t>
    </r>
    <r>
      <rPr>
        <sz val="11"/>
        <color rgb="FF000000"/>
        <rFont val="KoPub돋움체 Medium"/>
        <family val="1"/>
        <charset val="129"/>
      </rPr>
      <t>정책연계 체계 구축</t>
    </r>
  </si>
  <si>
    <t>지역 주체별 과제 수요조사 및 타당성 검토 워크숍 운영</t>
  </si>
  <si>
    <t>지역사회연계 워크숍 및 특강</t>
  </si>
  <si>
    <r>
      <rPr>
        <sz val="11"/>
        <color rgb="FF000000"/>
        <rFont val="KoPub돋움체 Medium"/>
        <family val="3"/>
        <charset val="129"/>
      </rPr>
      <t xml:space="preserve">지역사회연계 워크숍 및 특강
</t>
    </r>
    <r>
      <rPr>
        <sz val="11"/>
        <color rgb="FFFF0000"/>
        <rFont val="KoPub돋움체 Medium"/>
        <family val="3"/>
        <charset val="129"/>
      </rPr>
      <t>(이월) 지역사회연계 워크숍 및 특강</t>
    </r>
  </si>
  <si>
    <t>지역사회문제해결 토론회</t>
  </si>
  <si>
    <t>시범과제 기획서 작성 및 추진 로드맵 수립</t>
  </si>
  <si>
    <t>지역문제해결 공동 프로그램 운영</t>
  </si>
  <si>
    <t>대학 특화분야 연계 전략적 사회공헌 및 지역행사 지원 확대</t>
  </si>
  <si>
    <t>학과기반의 지역사회공헌활동 프로그램 운영</t>
  </si>
  <si>
    <t>지역사회연계봉사프로그램</t>
  </si>
  <si>
    <r>
      <rPr>
        <sz val="11"/>
        <color rgb="FF000000"/>
        <rFont val="KoPub돋움체 Medium"/>
        <family val="3"/>
        <charset val="129"/>
      </rPr>
      <t xml:space="preserve">지역사회연계봉사프로그램 운영
</t>
    </r>
    <r>
      <rPr>
        <sz val="11"/>
        <color rgb="FFFF0000"/>
        <rFont val="KoPub돋움체 Medium"/>
        <family val="3"/>
        <charset val="129"/>
      </rPr>
      <t>(이월) 지역사회연계봉사프로그램 운영</t>
    </r>
  </si>
  <si>
    <t>대학의 역량을 활용한 지역사회협력 연계</t>
  </si>
  <si>
    <t>울산형 2주기 RISE모델 개발 정책연구</t>
  </si>
  <si>
    <t>AP8b</t>
  </si>
  <si>
    <t>지역문제해결 프로젝트 성과공유회</t>
  </si>
  <si>
    <t>지역문제해결 프로젝트 경진대회 및 성과공유회</t>
  </si>
  <si>
    <t>AP8c</t>
  </si>
  <si>
    <t>지역협력협의체&amp;거버넌스 성과공유회</t>
  </si>
  <si>
    <t>참여학생 성과연계형 장학금</t>
  </si>
  <si>
    <t>실험실습재료비</t>
  </si>
  <si>
    <t>D1 2차년도 총 사업비</t>
  </si>
  <si>
    <t>D1 1차년도 총 사업비</t>
  </si>
  <si>
    <t>이월금</t>
  </si>
  <si>
    <t>1차년도 집행금액</t>
  </si>
  <si>
    <t>* Action Plan의 경우, 25년과 26년을 구분하여 기재해 주시기 바랍니다.</t>
    <phoneticPr fontId="5" type="noConversion"/>
  </si>
  <si>
    <t>**  1차년도 사업비(이월금) 중 26년 신규 사업으로 분류된 예산은 2차년도 사업비에 기재 바랍니다.</t>
    <phoneticPr fontId="5" type="noConversion"/>
  </si>
  <si>
    <t>579 버림</t>
  </si>
  <si>
    <t>D. 지역생활안전∙의료∙정주 협력체계 구축</t>
  </si>
  <si>
    <t>D-2. U-MedTown 지역 완결형 의료체계 구축</t>
  </si>
  <si>
    <t>울산
과학대</t>
  </si>
  <si>
    <t>D-2-가. 지속가능한 보건복지 특성화 및 인재양성 체계 구축</t>
  </si>
  <si>
    <t>2차년도 사업비</t>
  </si>
  <si>
    <r>
      <t>1차년도 사업비</t>
    </r>
    <r>
      <rPr>
        <b/>
        <sz val="12"/>
        <color rgb="FF4472C4"/>
        <rFont val="맑은 고딕"/>
        <family val="3"/>
        <charset val="129"/>
      </rPr>
      <t xml:space="preserve">
(**1차년도 이월금중 26년 신규사업으로 분류된 예산은 2차년도 사업비에 기재 요망)</t>
    </r>
  </si>
  <si>
    <r>
      <t>울산과학대학교 RISE Action Plan</t>
    </r>
    <r>
      <rPr>
        <sz val="12"/>
        <color rgb="FF000000"/>
        <rFont val="맑은 고딕"/>
        <family val="3"/>
        <charset val="129"/>
      </rPr>
      <t>(*)</t>
    </r>
  </si>
  <si>
    <t>프로그램
코드</t>
  </si>
  <si>
    <t>프로그램 상세</t>
  </si>
  <si>
    <t>기준일 현재
집행액(천원)</t>
    <phoneticPr fontId="3" type="noConversion"/>
  </si>
  <si>
    <t>비고</t>
  </si>
  <si>
    <t>지역 의료·돌봄 연계 강화를 통한 협력 운영 체계 정착</t>
  </si>
  <si>
    <t>지역사회 기반 보건복지 거버넌스 확대 및 운영</t>
  </si>
  <si>
    <t>지역사회 중심 보건복지 거버넌스 및 협력 확대</t>
  </si>
  <si>
    <t>지산학 보건 거버넌스 구축 및 운영</t>
  </si>
  <si>
    <t xml:space="preserve">                      -</t>
  </si>
  <si>
    <t xml:space="preserve"> 박인숙 </t>
  </si>
  <si>
    <r>
      <t>(이월) 지산학 보건 거버넌스 구축 및 운영</t>
    </r>
    <r>
      <rPr>
        <strike/>
        <sz val="11"/>
        <color rgb="FFFF0000"/>
        <rFont val="KoPub돋움체 Medium"/>
        <family val="3"/>
        <charset val="129"/>
      </rPr>
      <t>(B3예산 변경)</t>
    </r>
  </si>
  <si>
    <t>　</t>
    <phoneticPr fontId="3" type="noConversion"/>
  </si>
  <si>
    <t xml:space="preserve"> 최승혜 </t>
  </si>
  <si>
    <t>대학 인프라 연계 융합형 지역보건복지 서비스 및 모델 확대</t>
  </si>
  <si>
    <t>맞춤형 보건복지 서비스 역량강화를 위한 기자재&amp;장비</t>
  </si>
  <si>
    <t>(이월) 반려동물보건과 기자재 구매</t>
  </si>
  <si>
    <t>신규학과 (반려동물/K-뷰티) 기자재 + 외국인요양보호사</t>
  </si>
  <si>
    <t>반려동물보건과 실험실습 재료 및 소모품 구매</t>
  </si>
  <si>
    <t>지역사회 기반 보건복지관리 전문인력 양성 및 주민참여형 건강증진 프로그램 운영</t>
  </si>
  <si>
    <t>사회적약자 의료케어 역량강화교육 프로그램 운영(주민참여형)</t>
  </si>
  <si>
    <t>(이월) 사회적약자 의료케어 역량강화교육 프로그램 운영</t>
  </si>
  <si>
    <t>('26년 신규) 교내 시설 활용 주민참여 프로그램 운영</t>
    <phoneticPr fontId="3" type="noConversion"/>
  </si>
  <si>
    <t>산업체·의료기관 연계 맞춤형 보건복지 서비스 교육 프로그램 개발 및 운영</t>
  </si>
  <si>
    <t>('26년 신규) AI 보건의료 빅데이터 교육 프로그램 운영</t>
  </si>
  <si>
    <t>('26년 신규) 지역의료기관 연계 사업 운영</t>
  </si>
  <si>
    <t>사회적 약자 대상 보건복지케어 수요조사 및 모니터링 기반 보건서비스 기획·운영</t>
  </si>
  <si>
    <t>사회적약자 의료케어 모니터링 프로그램 운영</t>
  </si>
  <si>
    <t>사회적 약자 보건복지케어 전문인력 양성 및 맞춤형 현장 보건서비스 운영 확대</t>
  </si>
  <si>
    <t>사회적약자 보건복지서비스 역량강화 프로그램 운영</t>
  </si>
  <si>
    <t>사회적약자 의료케어 모니터링 프로그램  운영</t>
  </si>
  <si>
    <t>지역 인재 순환과 성과관리를 통한 지속 가능 운영 확립</t>
  </si>
  <si>
    <t>지역 특화 보건의료 전문인력 양성 체계 강화</t>
  </si>
  <si>
    <r>
      <t>('26년 신규) 공공보건 의료데이터와 AI혁신 챌린지</t>
    </r>
    <r>
      <rPr>
        <sz val="9"/>
        <color rgb="FF0070C0"/>
        <rFont val="KoPub돋움체 Medium"/>
        <family val="3"/>
        <charset val="129"/>
      </rPr>
      <t xml:space="preserve">
『울산 지역 건강 함께 잇다, AI 활용 지역사회 건강 공익 프로젝트』 운영</t>
    </r>
  </si>
  <si>
    <t>통합보건 인력 양성 프로그램 실험실습재료비</t>
  </si>
  <si>
    <t>보건복지서비스 역량강화 전문인력양성 혁신 프로그램 운영</t>
    <phoneticPr fontId="3" type="noConversion"/>
  </si>
  <si>
    <t>(이월) 보건복지서비스 역량강화 전문인력양성 프로그램 운영</t>
  </si>
  <si>
    <t>지속 가능한 지역 정주 유도 및 제도적 기반 마련</t>
  </si>
  <si>
    <t>지역정주형 보건의료 인재 역량강화 프로그램 운영(학술제?)</t>
    <phoneticPr fontId="3" type="noConversion"/>
  </si>
  <si>
    <t>보건복지 특성화 인력 지원 프로그램</t>
  </si>
  <si>
    <r>
      <t xml:space="preserve">통합보건복지 리더십 아카데미 운영
</t>
    </r>
    <r>
      <rPr>
        <sz val="11"/>
        <color rgb="FFFF0000"/>
        <rFont val="KoPub돋움체 Medium"/>
        <family val="3"/>
        <charset val="129"/>
      </rPr>
      <t>-&gt; 지역 연계형 보건복지 취업역량 강화 프로그램 운영(변경?)</t>
    </r>
  </si>
  <si>
    <t>통합보건복지 리더십 아카데미 운영</t>
  </si>
  <si>
    <t>신규학과 및 통합보건인력양성 지원 프로그램 확대</t>
  </si>
  <si>
    <t>신규학과 개설&amp;지원을 위한 통합형 보건인재 양성 교육환경 개선
+ 외국인요양보호사</t>
  </si>
  <si>
    <t>(이월) 통합형 보건인재 양성을 위한 교육환경 개선(반려동물보건과)</t>
  </si>
  <si>
    <t>D2 2차년도 총 사업비</t>
  </si>
  <si>
    <t>D2 1차년도 총 사업비</t>
  </si>
  <si>
    <t xml:space="preserve"> 이월금 </t>
  </si>
  <si>
    <t xml:space="preserve"> 1차년도 집행액 </t>
  </si>
  <si>
    <t>잔액</t>
    <phoneticPr fontId="3" type="noConversion"/>
  </si>
  <si>
    <t>집행율</t>
    <phoneticPr fontId="3" type="noConversion"/>
  </si>
  <si>
    <t>(이월) 과제 운영</t>
  </si>
  <si>
    <t>지역정주형 보건의료 인재(취업) 역량강화 프로그램 운영</t>
    <phoneticPr fontId="3" type="noConversion"/>
  </si>
  <si>
    <t>(이월) 그 밖의 사업 경비</t>
  </si>
  <si>
    <t>(이월) 합계</t>
    <phoneticPr fontId="3" type="noConversion"/>
  </si>
  <si>
    <t>(집행) 인건비</t>
    <phoneticPr fontId="3" type="noConversion"/>
  </si>
  <si>
    <t xml:space="preserve"> - </t>
  </si>
  <si>
    <t>(집행) 과제운영</t>
    <phoneticPr fontId="3" type="noConversion"/>
  </si>
  <si>
    <t>(집행) 그 밖의 사업경비</t>
    <phoneticPr fontId="3" type="noConversion"/>
  </si>
  <si>
    <t>(집행) 간접비</t>
    <phoneticPr fontId="3" type="noConversion"/>
  </si>
  <si>
    <t>(집행) 합계</t>
    <phoneticPr fontId="3" type="noConversion"/>
  </si>
  <si>
    <t>(이월)합계+(집행)합계</t>
    <phoneticPr fontId="3" type="noConversion"/>
  </si>
  <si>
    <t>※ 거버넌스 200만원 -&gt; B3 예산 편성 (총이월액 3,800만원 -&gt; 3,600만원)</t>
    <phoneticPr fontId="3" type="noConversion"/>
  </si>
  <si>
    <t>D-3. 지역과 문화가 함께하는 매력있는 꿀잼도시 조성</t>
  </si>
  <si>
    <t>D-3. 지역과 문화가 함께하는 매력있는 꿀잼도시 조성</t>
    <phoneticPr fontId="5" type="noConversion"/>
  </si>
  <si>
    <t>D-3-가. 에코 컬처로 만드는 꿀잼도시 울산</t>
    <phoneticPr fontId="5" type="noConversion"/>
  </si>
  <si>
    <r>
      <rPr>
        <sz val="12"/>
        <color theme="0"/>
        <rFont val="Malgun Gothic"/>
        <family val="2"/>
        <charset val="129"/>
      </rPr>
      <t>울산과학대학교</t>
    </r>
    <r>
      <rPr>
        <sz val="12"/>
        <color theme="0"/>
        <rFont val="KoPubDotum Medium"/>
        <family val="2"/>
      </rPr>
      <t xml:space="preserve"> RISE </t>
    </r>
    <r>
      <rPr>
        <sz val="12"/>
        <color theme="0"/>
        <rFont val="Malgun Gothic"/>
        <family val="2"/>
        <charset val="129"/>
      </rPr>
      <t>추진전략</t>
    </r>
  </si>
  <si>
    <t>S1</t>
    <phoneticPr fontId="3" type="noConversion"/>
  </si>
  <si>
    <t>지역과 문화 연계 협력 네트워크 구축</t>
    <phoneticPr fontId="3" type="noConversion"/>
  </si>
  <si>
    <t>P1</t>
    <phoneticPr fontId="3" type="noConversion"/>
  </si>
  <si>
    <r>
      <t>캠퍼스-로컬 연계형 에코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KoPub돋움체 Medium"/>
        <family val="3"/>
        <charset val="129"/>
      </rPr>
      <t>컬처 프로젝트</t>
    </r>
  </si>
  <si>
    <t>AP1</t>
    <phoneticPr fontId="3" type="noConversion"/>
  </si>
  <si>
    <t>시민참여형 에코 컬처 체험 프로그램 개발 및 운영</t>
    <phoneticPr fontId="3" type="noConversion"/>
  </si>
  <si>
    <t>AP1a</t>
    <phoneticPr fontId="3" type="noConversion"/>
  </si>
  <si>
    <t>문화 콘텐츠 개발 우수 사례 및 벤치마킹</t>
  </si>
  <si>
    <t>오영경</t>
    <phoneticPr fontId="3" type="noConversion"/>
  </si>
  <si>
    <t>(문화/도시재생 체험 프로그램)십리대밭 런케이션</t>
  </si>
  <si>
    <t>국중박 벤치마킹</t>
  </si>
  <si>
    <t>김소정</t>
    <phoneticPr fontId="3" type="noConversion"/>
  </si>
  <si>
    <t>(이월사업)(문화/도시재생 체험 프로그램)북구 이화정 벤치마킹</t>
  </si>
  <si>
    <t>(미확정)도시재생 인재 양성 벤치마킹</t>
  </si>
  <si>
    <t>AP1b</t>
    <phoneticPr fontId="3" type="noConversion"/>
  </si>
  <si>
    <t>K-컬처 글로벌 교류 프로젝트: 대만 충유대 교류 프로그램</t>
  </si>
  <si>
    <t>(이월사업)(문화/도시재생 체험 프로그램)동구청 청소년 복합 문화공간 벽화조성</t>
  </si>
  <si>
    <t>(이월사업)(문화/도시재생 체험 프로그램)울리단길 런케이션</t>
  </si>
  <si>
    <t>(진행중) 6월25일 사전 워크숍 시작</t>
  </si>
  <si>
    <t xml:space="preserve"> </t>
  </si>
  <si>
    <t>AP2</t>
    <phoneticPr fontId="3" type="noConversion"/>
  </si>
  <si>
    <t>울산 브랜드 디자인 프로그램 운영</t>
    <phoneticPr fontId="3" type="noConversion"/>
  </si>
  <si>
    <t>AP2a</t>
    <phoneticPr fontId="3" type="noConversion"/>
  </si>
  <si>
    <t>로컬 크리에이터 양성을 위한 브랜드 디자인 전문 교육</t>
    <phoneticPr fontId="3" type="noConversion"/>
  </si>
  <si>
    <t>(이월사업)(로컬 크리에이터 브랜드 디자인 교육)내만 알고 있는 마실 지도</t>
  </si>
  <si>
    <t>오영경</t>
  </si>
  <si>
    <t>(계획안결재중) 캐릭터. 이모티콘, 전자책 발간</t>
  </si>
  <si>
    <t>P2</t>
    <phoneticPr fontId="3" type="noConversion"/>
  </si>
  <si>
    <t>에코·컬처 융합형 전문인재 육성 프로그램</t>
    <phoneticPr fontId="3" type="noConversion"/>
  </si>
  <si>
    <t>AP3</t>
    <phoneticPr fontId="3" type="noConversion"/>
  </si>
  <si>
    <t>에코컬처 인재양성을 위한 다양한 프로그램 운영</t>
    <phoneticPr fontId="3" type="noConversion"/>
  </si>
  <si>
    <t>AP3a</t>
    <phoneticPr fontId="3" type="noConversion"/>
  </si>
  <si>
    <t>콘텐츠 크리에이터 연계 프로젝트(실무 프로젝트)</t>
    <phoneticPr fontId="3" type="noConversion"/>
  </si>
  <si>
    <t>울산 문화 콘텐츠 개발 프로젝트_콘텐츠 크리에이터 양성프로그램</t>
    <phoneticPr fontId="3" type="noConversion"/>
  </si>
  <si>
    <t>(이월사업)(콘텐츠 크리에이터 양성프로그램 심화과정)세계유산 도시 울산, 첫 페이지를 열다</t>
  </si>
  <si>
    <t>(구매신청중) 6월23일 운영 시작 예정</t>
  </si>
  <si>
    <t>P3</t>
    <phoneticPr fontId="3" type="noConversion"/>
  </si>
  <si>
    <t>지역기업과 연계한 지속가능한 도시 재생 프로젝트</t>
    <phoneticPr fontId="3" type="noConversion"/>
  </si>
  <si>
    <t>AP4</t>
    <phoneticPr fontId="3" type="noConversion"/>
  </si>
  <si>
    <t>청년중심의 상업공간 재활성화 프로젝트</t>
    <phoneticPr fontId="3" type="noConversion"/>
  </si>
  <si>
    <t>25년도 미진행-1차년도 예산 삭제</t>
    <phoneticPr fontId="3" type="noConversion"/>
  </si>
  <si>
    <t>AP5</t>
    <phoneticPr fontId="3" type="noConversion"/>
  </si>
  <si>
    <t>대학 내 문화커뮤니티 공간 구축</t>
    <phoneticPr fontId="3" type="noConversion"/>
  </si>
  <si>
    <t>AP5a</t>
    <phoneticPr fontId="3" type="noConversion"/>
  </si>
  <si>
    <t>도시재생 체험 프로젝트</t>
    <phoneticPr fontId="3" type="noConversion"/>
  </si>
  <si>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KoPub돋움체 Medium"/>
        <family val="3"/>
        <charset val="129"/>
      </rPr>
      <t xml:space="preserve">1대학관 커뮤니티 공간 환경개선/대강당 LED전광판 및 음향시설 구축                                          </t>
    </r>
  </si>
  <si>
    <t>AP5b</t>
    <phoneticPr fontId="3" type="noConversion"/>
  </si>
  <si>
    <t>대학내 커뮤니티 공간 구축(북까페조성)</t>
    <phoneticPr fontId="3" type="noConversion"/>
  </si>
  <si>
    <t>②토너 및 드럼 구매/ PC 및 모니터 구매</t>
    <phoneticPr fontId="3" type="noConversion"/>
  </si>
  <si>
    <t>(이월사업)지역 커뮤니티 공간 기자재 구입</t>
  </si>
  <si>
    <t>본부운영</t>
  </si>
  <si>
    <t>AP6</t>
    <phoneticPr fontId="3" type="noConversion"/>
  </si>
  <si>
    <t>학생들의 프로젝트 수업을 통한 도시재생 프로젝트</t>
    <phoneticPr fontId="3" type="noConversion"/>
  </si>
  <si>
    <t>AP6a</t>
    <phoneticPr fontId="3" type="noConversion"/>
  </si>
  <si>
    <t>도시공간 재생 프로젝트 거버넌스 운영</t>
    <phoneticPr fontId="3" type="noConversion"/>
  </si>
  <si>
    <t>장생포 웰리키즈랜드 프로젝트</t>
    <phoneticPr fontId="3" type="noConversion"/>
  </si>
  <si>
    <t>AP6b</t>
    <phoneticPr fontId="3" type="noConversion"/>
  </si>
  <si>
    <t>서포터즈 활동비</t>
    <phoneticPr fontId="3" type="noConversion"/>
  </si>
  <si>
    <t>S2</t>
    <phoneticPr fontId="3" type="noConversion"/>
  </si>
  <si>
    <r>
      <t xml:space="preserve"> 지역사회 에코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KoPub돋움체 Medium"/>
        <family val="3"/>
        <charset val="129"/>
      </rPr>
      <t>컬처 꿀잼 역량 강화</t>
    </r>
  </si>
  <si>
    <t>P4</t>
    <phoneticPr fontId="3" type="noConversion"/>
  </si>
  <si>
    <t>시민 참여형 환경문화 워크숍 및 체험 프로그램</t>
    <phoneticPr fontId="3" type="noConversion"/>
  </si>
  <si>
    <t>AP7</t>
    <phoneticPr fontId="3" type="noConversion"/>
  </si>
  <si>
    <r>
      <t>시민체험형 문화</t>
    </r>
    <r>
      <rPr>
        <sz val="11"/>
        <color theme="1"/>
        <rFont val="KoPub돋움체 Medium"/>
        <family val="3"/>
        <charset val="129"/>
      </rPr>
      <t>·예술 체험 프로그램 운영</t>
    </r>
  </si>
  <si>
    <t>AP7a</t>
    <phoneticPr fontId="3" type="noConversion"/>
  </si>
  <si>
    <t>문화 예술 체험 프로젝트</t>
    <phoneticPr fontId="3" type="noConversion"/>
  </si>
  <si>
    <t>동구 청년의 날 체험 프로그램</t>
    <phoneticPr fontId="3" type="noConversion"/>
  </si>
  <si>
    <t>박인숙</t>
    <phoneticPr fontId="3" type="noConversion"/>
  </si>
  <si>
    <t>AP8</t>
    <phoneticPr fontId="3" type="noConversion"/>
  </si>
  <si>
    <t>학생들을 활용한 지역의 브랜드 디자인 활동</t>
    <phoneticPr fontId="3" type="noConversion"/>
  </si>
  <si>
    <t>AP8a</t>
    <phoneticPr fontId="3" type="noConversion"/>
  </si>
  <si>
    <t>지역 연계 협업 예술 프로젝트(중구 배움의 뜰, 평생교육학습 축제예정)</t>
  </si>
  <si>
    <t>(이월사업)(지역 연계 협업 문화예술 프로젝트)도시재생 인재양성</t>
  </si>
  <si>
    <t>(계획중) 도시재생 특강, 포럼, 벤치마킹</t>
  </si>
  <si>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KoPub돋움체 Medium"/>
        <family val="3"/>
        <charset val="129"/>
      </rPr>
      <t>힙합라운지-청년문화체험</t>
    </r>
  </si>
  <si>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KoPub돋움체 Medium"/>
        <family val="3"/>
        <charset val="129"/>
      </rPr>
      <t>대학이 여는 도시재생-그래피티 운영</t>
    </r>
  </si>
  <si>
    <r>
      <rPr>
        <sz val="11"/>
        <color theme="1"/>
        <rFont val="맑은 고딕"/>
        <family val="3"/>
        <charset val="129"/>
      </rPr>
      <t>③</t>
    </r>
    <r>
      <rPr>
        <sz val="11"/>
        <color theme="1"/>
        <rFont val="KoPub돋움체 Medium"/>
        <family val="3"/>
        <charset val="129"/>
      </rPr>
      <t>지산학 페스티벌-그래피티 부스 운영</t>
    </r>
  </si>
  <si>
    <r>
      <rPr>
        <sz val="11"/>
        <color theme="1"/>
        <rFont val="맑은 고딕"/>
        <family val="3"/>
        <charset val="129"/>
      </rPr>
      <t>④</t>
    </r>
    <r>
      <rPr>
        <sz val="11"/>
        <color theme="1"/>
        <rFont val="KoPub돋움체 Medium"/>
        <family val="3"/>
        <charset val="129"/>
      </rPr>
      <t>문화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KoPub돋움체 Medium"/>
        <family val="3"/>
        <charset val="129"/>
      </rPr>
      <t>도시 재생 네트워킹 라운드 테이블</t>
    </r>
  </si>
  <si>
    <r>
      <rPr>
        <sz val="11"/>
        <color theme="1"/>
        <rFont val="맑은 고딕"/>
        <family val="3"/>
        <charset val="129"/>
      </rPr>
      <t>⑤</t>
    </r>
    <r>
      <rPr>
        <sz val="11"/>
        <color theme="1"/>
        <rFont val="KoPub돋움체 Medium"/>
        <family val="3"/>
        <charset val="129"/>
      </rPr>
      <t>3개대학 연합 문화관광 서포터즈 발대식</t>
    </r>
  </si>
  <si>
    <t>P5</t>
    <phoneticPr fontId="3" type="noConversion"/>
  </si>
  <si>
    <t>지역과 함께하는 울산 꿀잼 프로그램</t>
    <phoneticPr fontId="3" type="noConversion"/>
  </si>
  <si>
    <t>AP9</t>
    <phoneticPr fontId="3" type="noConversion"/>
  </si>
  <si>
    <t>지역과 함께하는 축제 프로그램 연계 운영</t>
    <phoneticPr fontId="3" type="noConversion"/>
  </si>
  <si>
    <t>AP9a</t>
    <phoneticPr fontId="3" type="noConversion"/>
  </si>
  <si>
    <t>지역사회 연계 및 교류 홍보</t>
  </si>
  <si>
    <r>
      <t>동구 문화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KoPub돋움체 Medium"/>
        <family val="3"/>
        <charset val="129"/>
      </rPr>
      <t>교육 꿀잼축제</t>
    </r>
  </si>
  <si>
    <t>지산학 실내 부스 센터별 지원금</t>
    <phoneticPr fontId="3" type="noConversion"/>
  </si>
  <si>
    <t>(이월사업)(성과활용확산)세계인의 날 연계 전통문화체험 부스 운영</t>
  </si>
  <si>
    <t>(미정) 사업단 워크숍 지원비</t>
  </si>
  <si>
    <t xml:space="preserve">(이월사업)(성과활용확산)도시재생 거버넌스 운영 </t>
  </si>
  <si>
    <t>(진행중) 기관 협약 및 mou</t>
  </si>
  <si>
    <t>AP10</t>
    <phoneticPr fontId="3" type="noConversion"/>
  </si>
  <si>
    <t>지역주민과 함께하는 학과 기반 체험형 프로그램 운영</t>
    <phoneticPr fontId="3" type="noConversion"/>
  </si>
  <si>
    <t>AP10a</t>
    <phoneticPr fontId="3" type="noConversion"/>
  </si>
  <si>
    <t>지역 연계협업 문화 콘텐츠 개발 프로젝트</t>
  </si>
  <si>
    <t>반려동물보건박람회-캠퍼스 펫 페스타</t>
    <phoneticPr fontId="3" type="noConversion"/>
  </si>
  <si>
    <t>박인숙</t>
  </si>
  <si>
    <t>D3 2차년도 총 사업비</t>
  </si>
  <si>
    <t>D3 1차년도 총 사업비</t>
  </si>
  <si>
    <t>인건비</t>
  </si>
  <si>
    <t>인건</t>
  </si>
  <si>
    <t>그 밖의 사업경비</t>
  </si>
  <si>
    <t>이월</t>
  </si>
  <si>
    <t>(이월사업)활동비</t>
  </si>
  <si>
    <t>관리운영</t>
  </si>
  <si>
    <t>(이월사업)관리운영비</t>
  </si>
  <si>
    <t>간접비</t>
  </si>
  <si>
    <t>A-1-나. 신산업분야특화선도
전문대학지원사업
(스마트·친환경선박분야)</t>
    <phoneticPr fontId="2" type="noConversion"/>
  </si>
  <si>
    <t>A-1-나. 스마트·친환경선박 직업교육의 글로벌 스탠더드</t>
    <phoneticPr fontId="2" type="noConversion"/>
  </si>
  <si>
    <t>2026년도 사업비</t>
    <phoneticPr fontId="2" type="noConversion"/>
  </si>
  <si>
    <r>
      <t xml:space="preserve">1차년도 사업비
</t>
    </r>
    <r>
      <rPr>
        <b/>
        <sz val="12"/>
        <color theme="4" tint="-0.249977111117893"/>
        <rFont val="Calibri"/>
        <family val="3"/>
        <charset val="129"/>
        <scheme val="minor"/>
      </rPr>
      <t>(**1차년도 이월금중 26년 신규사업으로 분류된 예산은 2차년도 사업비에 기재 요망)</t>
    </r>
  </si>
  <si>
    <t>사업비 예산</t>
    <phoneticPr fontId="2" type="noConversion"/>
  </si>
  <si>
    <t>기준일 현재 
집행액</t>
    <phoneticPr fontId="2" type="noConversion"/>
  </si>
  <si>
    <t xml:space="preserve"> 스마트친환경선박 학과 운영 지원</t>
  </si>
  <si>
    <t>SEVeN분야 학과 지속 가능체계 고도화</t>
  </si>
  <si>
    <t>융합전공 세미나</t>
    <phoneticPr fontId="2" type="noConversion"/>
  </si>
  <si>
    <t>정호성</t>
    <phoneticPr fontId="2" type="noConversion"/>
  </si>
  <si>
    <t>이수학생 장학금 - 30명</t>
  </si>
  <si>
    <t>김나희</t>
    <phoneticPr fontId="2" type="noConversion"/>
  </si>
  <si>
    <t>역량 디지털배지</t>
  </si>
  <si>
    <t>신입생 충원 지원 체계 운영</t>
  </si>
  <si>
    <t>학과 홍보물 구입</t>
    <phoneticPr fontId="2" type="noConversion"/>
  </si>
  <si>
    <t>지역 고교 입시 담당자 협의회</t>
  </si>
  <si>
    <t xml:space="preserve"> 참여교원의 역량 강화</t>
  </si>
  <si>
    <t>SEVeN분야 교수자 역량 지원 체계 운영</t>
  </si>
  <si>
    <t>스마트·친환경 선박 직무역량강화 연수</t>
  </si>
  <si>
    <t>혁신적 교수법 역량강화 연수</t>
  </si>
  <si>
    <t>교원 연수 프로그램</t>
  </si>
  <si>
    <t xml:space="preserve"> 산학연 연계 교육과정 운영 및 개선</t>
  </si>
  <si>
    <t>SEVeN산업 맞춤형교육과정 개발/운영 고도화</t>
  </si>
  <si>
    <t>SEVeN 융합교육과정 운영 고도화</t>
  </si>
  <si>
    <t>교육과정 운영 고도화 워크숍</t>
  </si>
  <si>
    <t>SEVeN현장직무중심 산업체 학기제 고도화</t>
  </si>
  <si>
    <t>인바운드 현장중심 교육과정 고도화</t>
  </si>
  <si>
    <t>챌린지 프로젝트(캡스톤디자인)</t>
    <phoneticPr fontId="2" type="noConversion"/>
  </si>
  <si>
    <t>옴니버스 교과목 운영 및 개선</t>
    <phoneticPr fontId="2" type="noConversion"/>
  </si>
  <si>
    <t>AP7c</t>
    <phoneticPr fontId="2" type="noConversion"/>
  </si>
  <si>
    <t>융합전공 동아리 운영</t>
  </si>
  <si>
    <t>이월사업비</t>
  </si>
  <si>
    <t>AP7d</t>
    <phoneticPr fontId="2" type="noConversion"/>
  </si>
  <si>
    <t>재학생 성과공유대회</t>
  </si>
  <si>
    <t>AP7e</t>
    <phoneticPr fontId="2" type="noConversion"/>
  </si>
  <si>
    <t>지·산·학 페스티벌</t>
  </si>
  <si>
    <t>SEVeN현장직무중심 산업체 학기제 고도화</t>
    <phoneticPr fontId="2" type="noConversion"/>
  </si>
  <si>
    <t>인바운드 현장중심 교육과정 고도화</t>
    <phoneticPr fontId="2" type="noConversion"/>
  </si>
  <si>
    <t>AP7f</t>
    <phoneticPr fontId="2" type="noConversion"/>
  </si>
  <si>
    <t>자율운항보트 경진대회</t>
  </si>
  <si>
    <t>4-station 운영 재료비</t>
    <phoneticPr fontId="2" type="noConversion"/>
  </si>
  <si>
    <t>아웃바운드 산업체중심 교육과정 운영 고도화</t>
  </si>
  <si>
    <t>글로벌 챌린지 프로그램</t>
  </si>
  <si>
    <t>산업체 X-station OJT</t>
    <phoneticPr fontId="2" type="noConversion"/>
  </si>
  <si>
    <t>학교 밖 수업</t>
    <phoneticPr fontId="2" type="noConversion"/>
  </si>
  <si>
    <t xml:space="preserve"> 교육과정의 대내외 확산</t>
  </si>
  <si>
    <t>SEVeN분야 교육과정 대내외 확산 고도화</t>
  </si>
  <si>
    <t>산업체 디지털전환 교육 (HMC)</t>
  </si>
  <si>
    <t>산단일반</t>
    <phoneticPr fontId="2" type="noConversion"/>
  </si>
  <si>
    <t>S5</t>
  </si>
  <si>
    <t xml:space="preserve"> 산업친화형 진로/취업 학생지원 체계 운영</t>
  </si>
  <si>
    <t>산업친화형진로개발 및 취업역량 강화</t>
  </si>
  <si>
    <t>산업체 맞춤형 비교과 과정 운영</t>
  </si>
  <si>
    <t>산업체 맞춤형 비교과 전문가과정</t>
    <phoneticPr fontId="2" type="noConversion"/>
  </si>
  <si>
    <t>진로역량개발을 위한 자격증 과정</t>
    <phoneticPr fontId="2" type="noConversion"/>
  </si>
  <si>
    <t>취업역량 개발 취업 캠프 활성화</t>
  </si>
  <si>
    <t>진로역량강화 학생 연수 프로그램(대전)</t>
  </si>
  <si>
    <t>진로역량강화 학생 연수 프로그램</t>
  </si>
  <si>
    <t>취업 및 진로 역량 개발 프로그램</t>
  </si>
  <si>
    <t>P9</t>
  </si>
  <si>
    <t>산업친화형 취업처 발굴 및 취업 추진</t>
  </si>
  <si>
    <t>산업체 맞춤형 취업 추진 활동</t>
  </si>
  <si>
    <t>산업친화형 취업처 발굴</t>
  </si>
  <si>
    <t>S6</t>
  </si>
  <si>
    <t xml:space="preserve"> 신산업분야 교육과정 연계 교육환경 개선</t>
  </si>
  <si>
    <t>P10</t>
  </si>
  <si>
    <t>산업체 수요 맞춤형 교육환경 및 기자재 고도화</t>
  </si>
  <si>
    <t>현장미러형 4-Station 교육환경의 고도화</t>
  </si>
  <si>
    <t>디지털트윈 스테이션 환경 개선</t>
  </si>
  <si>
    <t>정도관리 실습실 환경 개선</t>
  </si>
  <si>
    <t>혁신적교수법 강의실 환경 개선</t>
  </si>
  <si>
    <t>메이커스페이스 환경</t>
  </si>
  <si>
    <t>AP13e</t>
    <phoneticPr fontId="2" type="noConversion"/>
  </si>
  <si>
    <t>가상현실 실습실 환경 개선</t>
  </si>
  <si>
    <t>교육과정 맞춤 기자재/재료 구입</t>
  </si>
  <si>
    <t>현장미러형 기자재</t>
  </si>
  <si>
    <t>선체 설계 소프트웨어 리스 (1년)</t>
  </si>
  <si>
    <t>S7</t>
  </si>
  <si>
    <t xml:space="preserve"> 산학연관거버넌스 구축/운영</t>
  </si>
  <si>
    <t>P11</t>
  </si>
  <si>
    <t>산·학·연·관 거버넌스 구축/확대 운영</t>
  </si>
  <si>
    <t>산학연관 거버넌스 구축 확대</t>
  </si>
  <si>
    <t>거버넌스 사업참여 활동</t>
  </si>
  <si>
    <t>거버넌스 성과공유대회</t>
  </si>
  <si>
    <t>P12</t>
  </si>
  <si>
    <t>산·학·연·관 거너넌스 연계 협력 지원</t>
  </si>
  <si>
    <t>사업 우수성과 공유 (조선학회)</t>
  </si>
  <si>
    <t>A1나 총예산</t>
    <phoneticPr fontId="2" type="noConversion"/>
  </si>
  <si>
    <t>AP4c</t>
  </si>
  <si>
    <t>한국어교육(TOPIK) 특강 운영</t>
  </si>
  <si>
    <t>글로벌 역량 강화(자격증/전문가 과정) 프로그램 운영</t>
  </si>
  <si>
    <t>외국인 근로자 정착 지원 프로그램 운영</t>
  </si>
  <si>
    <t>이주민 정착 지원 프로그램 운영</t>
  </si>
  <si>
    <t>AI·DX 교직원역량강화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</si>
</sst>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#,##0_ "/>
    <numFmt numFmtId="165" formatCode="_(* #,##0.00_);_(* \(#,##0.00\);_(* &quot;-&quot;_);_(@_)"/>
    <numFmt numFmtId="166" formatCode="_(* #,##0.000_);_(* \(#,##0.000\);_(* &quot;-&quot;_);_(@_)"/>
    <numFmt numFmtId="167" formatCode="#,##0.000"/>
    <numFmt numFmtId="168" formatCode="mm&quot;월&quot;\ dd&quot;일&quot;"/>
    <numFmt numFmtId="169" formatCode="0.0"/>
    <numFmt numFmtId="170" formatCode="_-* #,##0_-;\-* #,##0_-;_-* &quot;-&quot;_-;_-@_-"/>
  </numFmts>
  <fonts count="16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KoPubDotum Medium"/>
      <family val="1"/>
      <charset val="129"/>
    </font>
    <font>
      <sz val="11"/>
      <color theme="0"/>
      <name val="KoPubDotum Medium"/>
      <family val="1"/>
      <charset val="129"/>
    </font>
    <font>
      <sz val="10"/>
      <color rgb="FF000000"/>
      <name val="KoPubWorld돋움체 Medium"/>
      <family val="3"/>
      <charset val="129"/>
    </font>
    <font>
      <sz val="10"/>
      <color theme="1"/>
      <name val="KoPubDotum Medium"/>
      <family val="1"/>
      <charset val="129"/>
    </font>
    <font>
      <sz val="10"/>
      <color theme="1"/>
      <name val="KoPubDotum_Pro Medium"/>
      <family val="2"/>
    </font>
    <font>
      <sz val="10"/>
      <color theme="1"/>
      <name val="Calibri"/>
      <family val="2"/>
      <scheme val="minor"/>
    </font>
    <font>
      <sz val="10"/>
      <color theme="1"/>
      <name val="KoPubDotum Medium"/>
      <family val="2"/>
    </font>
    <font>
      <sz val="10"/>
      <color rgb="FF000000"/>
      <name val="KoPubDotum Medium"/>
      <family val="2"/>
    </font>
    <font>
      <sz val="10"/>
      <color theme="1"/>
      <name val="MS UI Gothic"/>
      <family val="1"/>
      <charset val="1"/>
    </font>
    <font>
      <b/>
      <sz val="10"/>
      <color theme="1"/>
      <name val="KoPubDotum_Pro Medium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6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rgb="FF0070C0"/>
      <name val="Calibri"/>
      <family val="2"/>
      <scheme val="minor"/>
    </font>
    <font>
      <sz val="11"/>
      <color theme="1"/>
      <name val="KoPub돋움체 Medium"/>
      <family val="3"/>
      <charset val="129"/>
    </font>
    <font>
      <sz val="11"/>
      <color theme="0"/>
      <name val="KoPub돋움체 Medium"/>
      <family val="3"/>
      <charset val="129"/>
    </font>
    <font>
      <sz val="11"/>
      <color rgb="FF000000"/>
      <name val="KoPub돋움체 Medium"/>
      <family val="3"/>
      <charset val="129"/>
    </font>
    <font>
      <u/>
      <sz val="11"/>
      <color theme="1"/>
      <name val="KoPub돋움체 Medium"/>
      <family val="3"/>
      <charset val="129"/>
    </font>
    <font>
      <u val="singleAccounting"/>
      <sz val="11"/>
      <color theme="1"/>
      <name val="KoPub돋움체 Medium"/>
      <family val="3"/>
      <charset val="129"/>
    </font>
    <font>
      <b/>
      <sz val="11"/>
      <color rgb="FFFF0000"/>
      <name val="KoPub돋움체 Medium"/>
      <family val="3"/>
      <charset val="129"/>
    </font>
    <font>
      <sz val="10"/>
      <color theme="1"/>
      <name val="KoPub돋움체 Medium"/>
      <family val="3"/>
      <charset val="129"/>
    </font>
    <font>
      <sz val="11"/>
      <name val="KoPub돋움체 Medium"/>
      <family val="3"/>
      <charset val="129"/>
    </font>
    <font>
      <sz val="11"/>
      <color rgb="FFFF0000"/>
      <name val="KoPub돋움체 Medium"/>
      <family val="3"/>
      <charset val="129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3"/>
      <charset val="129"/>
      <scheme val="minor"/>
    </font>
    <font>
      <sz val="11"/>
      <color theme="0"/>
      <name val="KoPubDotum Medium"/>
      <family val="2"/>
    </font>
    <font>
      <sz val="11"/>
      <color theme="1"/>
      <name val="KoPubDotum Medium"/>
      <family val="2"/>
    </font>
    <font>
      <sz val="11"/>
      <color rgb="FF000000"/>
      <name val="KoPubDotum Medium"/>
      <family val="2"/>
    </font>
    <font>
      <sz val="11"/>
      <color theme="1"/>
      <name val="KoPubDotum_Pro Medium"/>
      <family val="2"/>
    </font>
    <font>
      <u/>
      <sz val="11"/>
      <color theme="1"/>
      <name val="맑은 고딕"/>
      <family val="3"/>
      <charset val="129"/>
    </font>
    <font>
      <u/>
      <sz val="11"/>
      <color theme="1"/>
      <name val="KoPubDotum_Pro Medium"/>
      <family val="2"/>
    </font>
    <font>
      <u/>
      <sz val="11"/>
      <color theme="1"/>
      <name val="KoPubDotum Medium"/>
      <family val="2"/>
    </font>
    <font>
      <sz val="11"/>
      <color theme="1"/>
      <name val="KoPubWorld돋움체 Medium"/>
      <family val="3"/>
      <charset val="129"/>
    </font>
    <font>
      <sz val="12"/>
      <color theme="1"/>
      <name val="KoPub돋움체 Medium"/>
      <family val="3"/>
      <charset val="129"/>
    </font>
    <font>
      <b/>
      <sz val="11"/>
      <color theme="1"/>
      <name val="KoPub돋움체 Medium"/>
      <family val="3"/>
      <charset val="129"/>
    </font>
    <font>
      <sz val="11"/>
      <color theme="1"/>
      <name val="KoPubDotum Medium"/>
      <family val="2"/>
      <charset val="129"/>
    </font>
    <font>
      <sz val="11"/>
      <color theme="1"/>
      <name val="Malgun Gothic"/>
      <family val="2"/>
      <charset val="129"/>
    </font>
    <font>
      <sz val="11"/>
      <color theme="0"/>
      <name val="맑은 고딕"/>
      <family val="3"/>
      <charset val="129"/>
    </font>
    <font>
      <sz val="11"/>
      <color theme="1"/>
      <name val="KoPubDotum_Pro Medium"/>
      <family val="3"/>
      <charset val="129"/>
    </font>
    <font>
      <b/>
      <sz val="11"/>
      <color theme="1"/>
      <name val="Calibri"/>
      <family val="3"/>
      <charset val="129"/>
      <scheme val="minor"/>
    </font>
    <font>
      <strike/>
      <sz val="11"/>
      <color theme="1"/>
      <name val="KoPub돋움체 Medium"/>
      <family val="3"/>
      <charset val="129"/>
    </font>
    <font>
      <b/>
      <sz val="11"/>
      <color theme="1"/>
      <name val="KoPubDotum_Pro Medium"/>
      <family val="2"/>
    </font>
    <font>
      <sz val="16"/>
      <color theme="1"/>
      <name val="KoPub돋움체 Medium"/>
      <family val="3"/>
      <charset val="129"/>
    </font>
    <font>
      <sz val="16"/>
      <color theme="1"/>
      <name val="Calibri"/>
      <family val="2"/>
      <scheme val="minor"/>
    </font>
    <font>
      <b/>
      <sz val="16"/>
      <color theme="0"/>
      <name val="KoPub돋움체 Medium"/>
      <family val="3"/>
      <charset val="129"/>
    </font>
    <font>
      <b/>
      <sz val="14"/>
      <color theme="0"/>
      <name val="Calibri"/>
      <family val="3"/>
      <charset val="129"/>
      <scheme val="minor"/>
    </font>
    <font>
      <b/>
      <sz val="16"/>
      <color theme="1"/>
      <name val="Tahoma"/>
      <family val="3"/>
      <charset val="1"/>
    </font>
    <font>
      <b/>
      <sz val="16"/>
      <color theme="1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rgb="FF0070C0"/>
      <name val="KoPub돋움체 Medium"/>
      <family val="3"/>
      <charset val="129"/>
    </font>
    <font>
      <sz val="11"/>
      <name val="Yu Gothic"/>
      <family val="3"/>
      <charset val="128"/>
    </font>
    <font>
      <sz val="11"/>
      <color rgb="FFFF0000"/>
      <name val="Calibri"/>
      <family val="3"/>
      <charset val="129"/>
      <scheme val="minor"/>
    </font>
    <font>
      <sz val="11"/>
      <color rgb="FF000000"/>
      <name val="KoPubWorld돋움체 Medium"/>
      <family val="3"/>
      <charset val="129"/>
    </font>
    <font>
      <sz val="11"/>
      <color theme="1"/>
      <name val="KoPub돋움체 Medium"/>
      <family val="1"/>
      <charset val="129"/>
    </font>
    <font>
      <sz val="11"/>
      <color rgb="FF000000"/>
      <name val="KoPub돋움체 Medium"/>
      <family val="1"/>
      <charset val="129"/>
    </font>
    <font>
      <sz val="11"/>
      <color rgb="FF000000"/>
      <name val="KoPubDotum Medium"/>
      <family val="1"/>
      <charset val="129"/>
    </font>
    <font>
      <sz val="11"/>
      <color theme="1"/>
      <name val="KoPubDotum_Pro Medium"/>
      <charset val="129"/>
    </font>
    <font>
      <b/>
      <sz val="11"/>
      <color theme="1"/>
      <name val="KoPub돋움체 Medium"/>
      <family val="1"/>
      <charset val="129"/>
    </font>
    <font>
      <b/>
      <sz val="16"/>
      <name val="Calibri"/>
      <family val="3"/>
      <charset val="129"/>
      <scheme val="minor"/>
    </font>
    <font>
      <sz val="12"/>
      <color theme="1"/>
      <name val="KoPubDotum Medium"/>
      <family val="2"/>
    </font>
    <font>
      <sz val="12"/>
      <color theme="1"/>
      <name val="KoPubDotum Medium"/>
      <family val="2"/>
      <charset val="129"/>
    </font>
    <font>
      <sz val="12"/>
      <color theme="1"/>
      <name val="Malgun Gothic"/>
      <family val="2"/>
      <charset val="129"/>
    </font>
    <font>
      <sz val="12"/>
      <color theme="1"/>
      <name val="KoPub돋움체 Medium"/>
      <family val="2"/>
      <charset val="129"/>
    </font>
    <font>
      <b/>
      <sz val="12"/>
      <color theme="0"/>
      <name val="맑은 고딕"/>
      <family val="2"/>
      <charset val="129"/>
    </font>
    <font>
      <b/>
      <sz val="12"/>
      <color theme="0"/>
      <name val="KoPubDotum Medium"/>
      <family val="2"/>
    </font>
    <font>
      <sz val="12"/>
      <color theme="0"/>
      <name val="Calibri"/>
      <family val="2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Calibri"/>
      <family val="3"/>
      <charset val="129"/>
      <scheme val="minor"/>
    </font>
    <font>
      <b/>
      <sz val="12"/>
      <color theme="4" tint="-0.249977111117893"/>
      <name val="Calibri"/>
      <family val="3"/>
      <charset val="129"/>
      <scheme val="minor"/>
    </font>
    <font>
      <sz val="11"/>
      <name val="KoPubDotum_Pro Medium"/>
      <family val="2"/>
    </font>
    <font>
      <sz val="11"/>
      <color rgb="FF000000"/>
      <name val="KoPubDotum Medium"/>
      <charset val="129"/>
    </font>
    <font>
      <sz val="11"/>
      <color theme="1"/>
      <name val="KoPubDotum Medium"/>
      <charset val="129"/>
    </font>
    <font>
      <sz val="11"/>
      <color theme="0"/>
      <name val="KoPubDotum Medium"/>
      <charset val="129"/>
    </font>
    <font>
      <u/>
      <sz val="11"/>
      <name val="KoPub돋움체 Medium"/>
      <family val="3"/>
      <charset val="129"/>
    </font>
    <font>
      <sz val="11"/>
      <color rgb="FF0070C0"/>
      <name val="Calibri"/>
      <family val="3"/>
      <charset val="129"/>
      <scheme val="minor"/>
    </font>
    <font>
      <sz val="10"/>
      <color rgb="FF000000"/>
      <name val="Tahoma"/>
      <family val="2"/>
    </font>
    <font>
      <sz val="11"/>
      <color rgb="FF9C0006"/>
      <name val="Calibri"/>
      <family val="2"/>
      <charset val="129"/>
      <scheme val="minor"/>
    </font>
    <font>
      <sz val="11"/>
      <name val="Calibri"/>
      <family val="2"/>
      <scheme val="minor"/>
    </font>
    <font>
      <b/>
      <sz val="1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theme="1"/>
      <name val="KoPubDotum_Pro Medium"/>
      <family val="3"/>
    </font>
    <font>
      <u/>
      <sz val="11"/>
      <color theme="1"/>
      <name val="KoPubDotum Medium"/>
      <family val="3"/>
    </font>
    <font>
      <u/>
      <sz val="11"/>
      <color theme="1"/>
      <name val="KoPubDotum Medium"/>
      <charset val="129"/>
    </font>
    <font>
      <sz val="11"/>
      <color theme="1"/>
      <name val="Calibri"/>
      <family val="2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2"/>
      <color theme="4"/>
      <name val="Calibri"/>
      <family val="3"/>
      <charset val="129"/>
      <scheme val="minor"/>
    </font>
    <font>
      <b/>
      <sz val="11"/>
      <color rgb="FFFFFFFF"/>
      <name val="KoPubDotum Medium"/>
      <family val="2"/>
      <charset val="129"/>
    </font>
    <font>
      <b/>
      <sz val="12"/>
      <color rgb="FFFFFFFF"/>
      <name val="KoPub돋움체 Medium"/>
      <family val="2"/>
      <charset val="129"/>
    </font>
    <font>
      <b/>
      <sz val="11"/>
      <color rgb="FFFFFFFF"/>
      <name val="KoPubDotum Medium"/>
      <family val="1"/>
      <charset val="129"/>
    </font>
    <font>
      <sz val="11"/>
      <color rgb="FFFFFFFF"/>
      <name val="맑은 고딕"/>
      <family val="3"/>
      <charset val="129"/>
    </font>
    <font>
      <sz val="11"/>
      <color rgb="FF000000"/>
      <name val="KoPubDotum Medium"/>
      <family val="2"/>
      <charset val="129"/>
    </font>
    <font>
      <sz val="11"/>
      <color rgb="FF000000"/>
      <name val="KoPubDotum_Pro Medium"/>
      <family val="2"/>
    </font>
    <font>
      <sz val="11"/>
      <color rgb="FFFF0000"/>
      <name val="KoPubDotum_Pro Medium"/>
      <family val="2"/>
    </font>
    <font>
      <sz val="11"/>
      <color rgb="FF000000"/>
      <name val="맑은 고딕"/>
      <family val="3"/>
    </font>
    <font>
      <b/>
      <sz val="11"/>
      <color rgb="FF000000"/>
      <name val="KoPub돋움체 Medium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</font>
    <font>
      <sz val="11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b/>
      <sz val="14"/>
      <color theme="1"/>
      <name val="Calibri Light"/>
      <family val="3"/>
      <charset val="129"/>
      <scheme val="major"/>
    </font>
    <font>
      <b/>
      <sz val="16"/>
      <color theme="1"/>
      <name val="Calibri Light"/>
      <family val="3"/>
      <charset val="129"/>
      <scheme val="major"/>
    </font>
    <font>
      <b/>
      <sz val="12"/>
      <color theme="8" tint="-0.249977111117893"/>
      <name val="Calibri Light"/>
      <family val="3"/>
      <charset val="129"/>
      <scheme val="major"/>
    </font>
    <font>
      <sz val="10"/>
      <color rgb="FF000000"/>
      <name val="KoPub돋움체 Medium"/>
      <family val="1"/>
      <charset val="129"/>
    </font>
    <font>
      <sz val="9"/>
      <color theme="0" tint="-0.499984740745262"/>
      <name val="Calibri"/>
      <family val="3"/>
      <charset val="129"/>
      <scheme val="minor"/>
    </font>
    <font>
      <sz val="11"/>
      <color theme="0" tint="-0.499984740745262"/>
      <name val="KoPub돋움체 Medium"/>
      <family val="3"/>
      <charset val="129"/>
    </font>
    <font>
      <sz val="10"/>
      <name val="Calibri"/>
      <family val="3"/>
      <charset val="129"/>
      <scheme val="minor"/>
    </font>
    <font>
      <sz val="10"/>
      <name val="KoPubDotum_Pro Medium"/>
      <family val="2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9"/>
      <color theme="0" tint="-0.34998626667073579"/>
      <name val="Calibri"/>
      <family val="2"/>
      <scheme val="minor"/>
    </font>
    <font>
      <sz val="10"/>
      <color rgb="FFFF0000"/>
      <name val="KoPubDotum_Pro Medium"/>
      <charset val="129"/>
    </font>
    <font>
      <b/>
      <sz val="11"/>
      <color theme="1"/>
      <name val="KoPubDotum Medium"/>
      <family val="1"/>
      <charset val="129"/>
    </font>
    <font>
      <b/>
      <sz val="11"/>
      <name val="Calibri"/>
      <family val="2"/>
      <charset val="129"/>
      <scheme val="minor"/>
    </font>
    <font>
      <sz val="10"/>
      <color rgb="FFFF0000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sz val="11"/>
      <color rgb="FF000000"/>
      <name val="KoPub돋움체 Medium"/>
      <family val="3"/>
    </font>
    <font>
      <sz val="11"/>
      <color rgb="FF000000"/>
      <name val="KoPub돋움체 Medium"/>
      <family val="1"/>
    </font>
    <font>
      <sz val="11"/>
      <color rgb="FFFF0000"/>
      <name val="KoPub돋움체 Medium"/>
      <family val="1"/>
    </font>
    <font>
      <sz val="11"/>
      <color theme="1"/>
      <name val="KoPub돋움체 Medium"/>
      <family val="3"/>
    </font>
    <font>
      <sz val="11"/>
      <name val="KoPub돋움체 Medium"/>
      <family val="1"/>
    </font>
    <font>
      <sz val="11"/>
      <color rgb="FF000000"/>
      <name val="Calibri"/>
      <family val="2"/>
      <charset val="129"/>
      <scheme val="minor"/>
    </font>
    <font>
      <b/>
      <sz val="14"/>
      <color rgb="FFFFFF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6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rgb="FF4472C4"/>
      <name val="맑은 고딕"/>
      <family val="3"/>
      <charset val="129"/>
    </font>
    <font>
      <b/>
      <sz val="12"/>
      <color rgb="FFFFFFFF"/>
      <name val="KoPubDotum Medium"/>
      <family val="2"/>
    </font>
    <font>
      <b/>
      <sz val="12"/>
      <color rgb="FFFFFFFF"/>
      <name val="KoPubDotum Medium"/>
      <family val="1"/>
      <charset val="129"/>
    </font>
    <font>
      <sz val="12"/>
      <color rgb="FF000000"/>
      <name val="맑은 고딕"/>
      <family val="3"/>
      <charset val="129"/>
    </font>
    <font>
      <b/>
      <sz val="12"/>
      <color rgb="FFFFFFFF"/>
      <name val="KoPub돋움체 Medium"/>
      <family val="3"/>
      <charset val="129"/>
    </font>
    <font>
      <b/>
      <sz val="12"/>
      <color rgb="FFFFFFFF"/>
      <name val="맑은 고딕"/>
      <family val="3"/>
      <charset val="129"/>
    </font>
    <font>
      <sz val="12"/>
      <color rgb="FFFFFFFF"/>
      <name val="맑은 고딕"/>
      <family val="3"/>
      <charset val="129"/>
    </font>
    <font>
      <sz val="11"/>
      <color rgb="FFFF00FF"/>
      <name val="KoPub돋움체 Medium"/>
      <family val="3"/>
      <charset val="129"/>
    </font>
    <font>
      <strike/>
      <sz val="11"/>
      <color rgb="FF000000"/>
      <name val="KoPub돋움체 Medium"/>
      <family val="3"/>
      <charset val="129"/>
    </font>
    <font>
      <strike/>
      <sz val="11"/>
      <color rgb="FFFF0000"/>
      <name val="KoPub돋움체 Medium"/>
      <family val="3"/>
      <charset val="129"/>
    </font>
    <font>
      <sz val="11"/>
      <color rgb="FF808080"/>
      <name val="KoPub돋움체 Medium"/>
      <family val="3"/>
      <charset val="129"/>
    </font>
    <font>
      <b/>
      <sz val="11"/>
      <color rgb="FF808080"/>
      <name val="KoPub돋움체 Medium"/>
      <family val="3"/>
      <charset val="129"/>
    </font>
    <font>
      <sz val="9"/>
      <color rgb="FF0070C0"/>
      <name val="KoPub돋움체 Medium"/>
      <family val="3"/>
      <charset val="129"/>
    </font>
    <font>
      <sz val="10.5"/>
      <color rgb="FFFF00FF"/>
      <name val="KoPub돋움체 Medium"/>
      <family val="3"/>
      <charset val="129"/>
    </font>
    <font>
      <b/>
      <sz val="12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660066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2"/>
      <color theme="0"/>
      <name val="KoPubDotum Medium"/>
      <family val="2"/>
      <charset val="129"/>
    </font>
    <font>
      <sz val="12"/>
      <color theme="0"/>
      <name val="Malgun Gothic"/>
      <family val="2"/>
      <charset val="129"/>
    </font>
    <font>
      <sz val="12"/>
      <color theme="0"/>
      <name val="KoPubDotum Medium"/>
      <family val="2"/>
    </font>
    <font>
      <sz val="11"/>
      <color rgb="FF00B0F0"/>
      <name val="KoPub돋움체 Medium"/>
      <family val="3"/>
      <charset val="129"/>
    </font>
    <font>
      <sz val="11"/>
      <color theme="4" tint="-0.249977111117893"/>
      <name val="Calibri"/>
      <family val="2"/>
      <charset val="129"/>
      <scheme val="minor"/>
    </font>
    <font>
      <b/>
      <sz val="11"/>
      <color theme="4" tint="-0.249977111117893"/>
      <name val="KoPub돋움체 Medium"/>
      <family val="3"/>
      <charset val="129"/>
    </font>
    <font>
      <sz val="11"/>
      <color rgb="FFFF0000"/>
      <name val="Calibri"/>
      <family val="2"/>
    </font>
    <font>
      <sz val="11"/>
      <color rgb="FF000000"/>
      <name val="KoPub돋움체 Medium"/>
      <charset val="129"/>
    </font>
    <font>
      <sz val="11"/>
      <color theme="1"/>
      <name val="KoPub돋움체 Medium"/>
      <charset val="129"/>
    </font>
    <font>
      <b/>
      <sz val="11"/>
      <color rgb="FF0000FF"/>
      <name val="맑은 고딕"/>
      <family val="3"/>
    </font>
    <font>
      <sz val="11"/>
      <name val="맑은 고딕"/>
      <family val="3"/>
    </font>
    <font>
      <sz val="11"/>
      <color rgb="FFFF0000"/>
      <name val="KoPubDotum Medium"/>
      <charset val="129"/>
    </font>
  </fonts>
  <fills count="5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4D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002060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004D58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9FE06E"/>
        <bgColor indexed="64"/>
      </patternFill>
    </fill>
    <fill>
      <patternFill patternType="solid">
        <fgColor rgb="FFCCECFF"/>
        <bgColor rgb="FF000000"/>
      </patternFill>
    </fill>
    <fill>
      <patternFill patternType="solid">
        <fgColor rgb="FFECECEC"/>
        <bgColor indexed="64"/>
      </patternFill>
    </fill>
    <fill>
      <patternFill patternType="solid">
        <fgColor rgb="FFECECEC"/>
        <bgColor rgb="FF000000"/>
      </patternFill>
    </fill>
    <fill>
      <patternFill patternType="solid">
        <fgColor rgb="FFFFE7FF"/>
        <bgColor rgb="FF000000"/>
      </patternFill>
    </fill>
    <fill>
      <patternFill patternType="solid">
        <fgColor rgb="FFDEFDCF"/>
        <bgColor indexed="64"/>
      </patternFill>
    </fill>
    <fill>
      <patternFill patternType="solid">
        <fgColor rgb="FF9BD9FF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CFFFF"/>
        <bgColor rgb="FF000000"/>
      </patternFill>
    </fill>
  </fills>
  <borders count="7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theme="5" tint="0.39997558519241921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rgb="FF59595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5" tint="0.39997558519241921"/>
      </top>
      <bottom style="thin">
        <color theme="1" tint="0.3499862666707357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595959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rgb="FFF2F2F2"/>
      </left>
      <right style="thin">
        <color rgb="FFF2F2F2"/>
      </right>
      <top style="thin">
        <color rgb="FF000000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000000"/>
      </top>
      <bottom style="thin">
        <color rgb="FFF4B084"/>
      </bottom>
      <diagonal/>
    </border>
    <border>
      <left style="thin">
        <color rgb="FF595959"/>
      </left>
      <right style="thin">
        <color rgb="FF595959"/>
      </right>
      <top style="thin">
        <color rgb="FFF4B084"/>
      </top>
      <bottom style="thin">
        <color rgb="FF595959"/>
      </bottom>
      <diagonal/>
    </border>
    <border>
      <left style="thin">
        <color rgb="FF595959"/>
      </left>
      <right/>
      <top style="thin">
        <color rgb="FFF4B084"/>
      </top>
      <bottom style="thin">
        <color rgb="FF595959"/>
      </bottom>
      <diagonal/>
    </border>
    <border>
      <left style="thin">
        <color indexed="64"/>
      </left>
      <right style="thin">
        <color rgb="FF595959"/>
      </right>
      <top style="thin">
        <color rgb="FFF4B084"/>
      </top>
      <bottom style="thin">
        <color rgb="FF595959"/>
      </bottom>
      <diagonal/>
    </border>
    <border>
      <left style="thin">
        <color indexed="64"/>
      </left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4B08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4B08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rgb="FF000000"/>
      </right>
      <top style="thin">
        <color rgb="FF000000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90" fillId="0" borderId="0">
      <alignment vertical="center"/>
    </xf>
    <xf numFmtId="170" fontId="90" fillId="0" borderId="0" applyFont="0" applyFill="0" applyBorder="0" applyAlignment="0" applyProtection="0">
      <alignment vertical="center"/>
    </xf>
  </cellStyleXfs>
  <cellXfs count="1065">
    <xf numFmtId="0" fontId="0" fillId="0" borderId="0" xfId="0"/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 applyProtection="1">
      <alignment horizontal="center" vertical="center" wrapText="1"/>
      <protection locked="0"/>
    </xf>
    <xf numFmtId="41" fontId="8" fillId="8" borderId="4" xfId="1" applyFont="1" applyFill="1" applyBorder="1" applyAlignment="1">
      <alignment horizontal="center" vertical="center" wrapText="1"/>
    </xf>
    <xf numFmtId="41" fontId="8" fillId="3" borderId="2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41" fontId="8" fillId="8" borderId="2" xfId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 wrapText="1"/>
    </xf>
    <xf numFmtId="41" fontId="13" fillId="3" borderId="9" xfId="0" applyNumberFormat="1" applyFont="1" applyFill="1" applyBorder="1" applyAlignment="1">
      <alignment horizontal="center" vertical="center" wrapText="1"/>
    </xf>
    <xf numFmtId="41" fontId="8" fillId="0" borderId="10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6" borderId="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9" borderId="5" xfId="0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21" fillId="15" borderId="4" xfId="0" applyFont="1" applyFill="1" applyBorder="1" applyAlignment="1">
      <alignment horizontal="center" vertical="center" wrapText="1"/>
    </xf>
    <xf numFmtId="0" fontId="21" fillId="15" borderId="4" xfId="0" applyFont="1" applyFill="1" applyBorder="1" applyAlignment="1">
      <alignment horizontal="left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left" vertical="center" wrapText="1"/>
    </xf>
    <xf numFmtId="0" fontId="21" fillId="8" borderId="4" xfId="0" applyFont="1" applyFill="1" applyBorder="1" applyAlignment="1" applyProtection="1">
      <alignment horizontal="center" vertical="center" wrapText="1"/>
      <protection locked="0"/>
    </xf>
    <xf numFmtId="0" fontId="23" fillId="8" borderId="4" xfId="0" applyFont="1" applyFill="1" applyBorder="1" applyAlignment="1" applyProtection="1">
      <alignment vertical="center" wrapText="1"/>
      <protection locked="0"/>
    </xf>
    <xf numFmtId="0" fontId="23" fillId="16" borderId="4" xfId="0" applyFont="1" applyFill="1" applyBorder="1" applyAlignment="1" applyProtection="1">
      <alignment horizontal="center" vertical="center" wrapText="1"/>
      <protection locked="0"/>
    </xf>
    <xf numFmtId="0" fontId="21" fillId="16" borderId="4" xfId="0" applyFont="1" applyFill="1" applyBorder="1" applyAlignment="1" applyProtection="1">
      <alignment horizontal="left" vertical="center" wrapText="1"/>
      <protection locked="0"/>
    </xf>
    <xf numFmtId="0" fontId="21" fillId="16" borderId="19" xfId="0" applyFont="1" applyFill="1" applyBorder="1" applyAlignment="1">
      <alignment horizontal="left" vertical="center" wrapText="1"/>
    </xf>
    <xf numFmtId="41" fontId="21" fillId="16" borderId="19" xfId="1" applyFont="1" applyFill="1" applyBorder="1" applyAlignment="1">
      <alignment horizontal="center" vertical="center" wrapText="1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3" fillId="3" borderId="4" xfId="0" applyFont="1" applyFill="1" applyBorder="1" applyAlignment="1" applyProtection="1">
      <alignment vertical="center" wrapText="1"/>
      <protection locked="0"/>
    </xf>
    <xf numFmtId="0" fontId="23" fillId="3" borderId="2" xfId="0" applyFont="1" applyFill="1" applyBorder="1" applyAlignment="1" applyProtection="1">
      <alignment horizontal="center" vertical="center" wrapText="1"/>
      <protection locked="0"/>
    </xf>
    <xf numFmtId="0" fontId="21" fillId="3" borderId="2" xfId="0" applyFont="1" applyFill="1" applyBorder="1" applyAlignment="1" applyProtection="1">
      <alignment horizontal="left" vertical="center" wrapText="1"/>
      <protection locked="0"/>
    </xf>
    <xf numFmtId="41" fontId="21" fillId="3" borderId="2" xfId="1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left" vertical="center" wrapText="1"/>
    </xf>
    <xf numFmtId="41" fontId="21" fillId="3" borderId="19" xfId="1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left" vertical="center" wrapText="1"/>
    </xf>
    <xf numFmtId="0" fontId="21" fillId="8" borderId="2" xfId="0" applyFont="1" applyFill="1" applyBorder="1" applyAlignment="1" applyProtection="1">
      <alignment horizontal="center" vertical="center" wrapText="1"/>
      <protection locked="0"/>
    </xf>
    <xf numFmtId="0" fontId="23" fillId="8" borderId="2" xfId="0" applyFont="1" applyFill="1" applyBorder="1" applyAlignment="1" applyProtection="1">
      <alignment vertical="center" wrapText="1"/>
      <protection locked="0"/>
    </xf>
    <xf numFmtId="0" fontId="23" fillId="16" borderId="2" xfId="0" applyFont="1" applyFill="1" applyBorder="1" applyAlignment="1" applyProtection="1">
      <alignment horizontal="center" vertical="center" wrapText="1"/>
      <protection locked="0"/>
    </xf>
    <xf numFmtId="0" fontId="21" fillId="16" borderId="2" xfId="0" applyFont="1" applyFill="1" applyBorder="1" applyAlignment="1" applyProtection="1">
      <alignment horizontal="left" vertical="center" wrapText="1"/>
      <protection locked="0"/>
    </xf>
    <xf numFmtId="0" fontId="21" fillId="3" borderId="2" xfId="0" applyFont="1" applyFill="1" applyBorder="1" applyAlignment="1" applyProtection="1">
      <alignment horizontal="center" vertical="center" wrapText="1"/>
      <protection locked="0"/>
    </xf>
    <xf numFmtId="0" fontId="23" fillId="3" borderId="2" xfId="0" applyFont="1" applyFill="1" applyBorder="1" applyAlignment="1" applyProtection="1">
      <alignment vertical="center" wrapText="1"/>
      <protection locked="0"/>
    </xf>
    <xf numFmtId="0" fontId="21" fillId="7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vertical="center" wrapText="1"/>
    </xf>
    <xf numFmtId="0" fontId="21" fillId="16" borderId="2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1" fontId="0" fillId="0" borderId="0" xfId="1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left" vertical="center"/>
    </xf>
    <xf numFmtId="41" fontId="21" fillId="16" borderId="20" xfId="1" applyFont="1" applyFill="1" applyBorder="1" applyAlignment="1">
      <alignment horizontal="center" vertical="center" wrapText="1"/>
    </xf>
    <xf numFmtId="41" fontId="21" fillId="0" borderId="10" xfId="1" applyFont="1" applyFill="1" applyBorder="1" applyAlignment="1">
      <alignment horizontal="center" vertical="center" wrapText="1"/>
    </xf>
    <xf numFmtId="41" fontId="21" fillId="3" borderId="21" xfId="1" applyFont="1" applyFill="1" applyBorder="1" applyAlignment="1">
      <alignment horizontal="center" vertical="center" wrapText="1"/>
    </xf>
    <xf numFmtId="0" fontId="21" fillId="3" borderId="19" xfId="0" applyFont="1" applyFill="1" applyBorder="1" applyAlignment="1" applyProtection="1">
      <alignment horizontal="left" vertical="center" wrapText="1"/>
      <protection locked="0"/>
    </xf>
    <xf numFmtId="0" fontId="27" fillId="3" borderId="19" xfId="0" applyFont="1" applyFill="1" applyBorder="1" applyAlignment="1" applyProtection="1">
      <alignment horizontal="left" vertical="center" wrapText="1"/>
      <protection locked="0"/>
    </xf>
    <xf numFmtId="41" fontId="21" fillId="16" borderId="21" xfId="1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vertical="center" wrapText="1"/>
    </xf>
    <xf numFmtId="0" fontId="28" fillId="3" borderId="2" xfId="0" applyFont="1" applyFill="1" applyBorder="1" applyAlignment="1">
      <alignment horizontal="left" vertical="center" wrapText="1"/>
    </xf>
    <xf numFmtId="0" fontId="23" fillId="0" borderId="2" xfId="0" applyFont="1" applyBorder="1" applyAlignment="1" applyProtection="1">
      <alignment horizontal="center" vertical="center" wrapText="1"/>
      <protection locked="0"/>
    </xf>
    <xf numFmtId="0" fontId="21" fillId="0" borderId="2" xfId="0" applyFont="1" applyBorder="1" applyAlignment="1">
      <alignment horizontal="left" vertical="center" wrapText="1"/>
    </xf>
    <xf numFmtId="0" fontId="33" fillId="15" borderId="4" xfId="0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horizontal="left" vertical="center" wrapText="1"/>
    </xf>
    <xf numFmtId="0" fontId="33" fillId="8" borderId="4" xfId="0" applyFont="1" applyFill="1" applyBorder="1" applyAlignment="1" applyProtection="1">
      <alignment horizontal="center" vertical="center" wrapText="1"/>
      <protection locked="0"/>
    </xf>
    <xf numFmtId="0" fontId="34" fillId="8" borderId="4" xfId="0" applyFont="1" applyFill="1" applyBorder="1" applyAlignment="1" applyProtection="1">
      <alignment vertical="center" wrapText="1"/>
      <protection locked="0"/>
    </xf>
    <xf numFmtId="0" fontId="34" fillId="16" borderId="4" xfId="0" applyFont="1" applyFill="1" applyBorder="1" applyAlignment="1" applyProtection="1">
      <alignment horizontal="center" vertical="center" wrapText="1"/>
      <protection locked="0"/>
    </xf>
    <xf numFmtId="41" fontId="15" fillId="16" borderId="0" xfId="1" applyFont="1" applyFill="1" applyBorder="1" applyAlignment="1">
      <alignment horizontal="center" vertical="center" wrapText="1"/>
    </xf>
    <xf numFmtId="0" fontId="33" fillId="16" borderId="22" xfId="0" applyFont="1" applyFill="1" applyBorder="1" applyAlignment="1" applyProtection="1">
      <alignment horizontal="left" vertical="center" wrapText="1"/>
      <protection locked="0"/>
    </xf>
    <xf numFmtId="41" fontId="35" fillId="16" borderId="22" xfId="1" applyFont="1" applyFill="1" applyBorder="1" applyAlignment="1">
      <alignment horizontal="center" vertical="center" wrapText="1"/>
    </xf>
    <xf numFmtId="0" fontId="33" fillId="15" borderId="2" xfId="0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left" vertical="center" wrapText="1"/>
    </xf>
    <xf numFmtId="0" fontId="34" fillId="16" borderId="2" xfId="0" applyFont="1" applyFill="1" applyBorder="1" applyAlignment="1" applyProtection="1">
      <alignment horizontal="center" vertical="center" wrapText="1"/>
      <protection locked="0"/>
    </xf>
    <xf numFmtId="0" fontId="33" fillId="8" borderId="2" xfId="0" applyFont="1" applyFill="1" applyBorder="1" applyAlignment="1">
      <alignment horizontal="center" vertical="center" wrapText="1"/>
    </xf>
    <xf numFmtId="0" fontId="34" fillId="8" borderId="2" xfId="0" applyFont="1" applyFill="1" applyBorder="1" applyAlignment="1">
      <alignment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vertical="center" wrapText="1"/>
    </xf>
    <xf numFmtId="0" fontId="34" fillId="3" borderId="2" xfId="0" applyFont="1" applyFill="1" applyBorder="1" applyAlignment="1" applyProtection="1">
      <alignment horizontal="center" vertical="center" wrapText="1"/>
      <protection locked="0"/>
    </xf>
    <xf numFmtId="0" fontId="33" fillId="3" borderId="2" xfId="0" applyFont="1" applyFill="1" applyBorder="1" applyAlignment="1">
      <alignment horizontal="left" vertical="center" wrapText="1"/>
    </xf>
    <xf numFmtId="41" fontId="15" fillId="3" borderId="0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2" applyAlignment="1">
      <alignment horizontal="center" vertical="center"/>
    </xf>
    <xf numFmtId="0" fontId="39" fillId="0" borderId="0" xfId="2" applyFont="1" applyAlignment="1">
      <alignment horizontal="center" vertical="center"/>
    </xf>
    <xf numFmtId="0" fontId="40" fillId="4" borderId="1" xfId="2" applyFont="1" applyFill="1" applyBorder="1" applyAlignment="1">
      <alignment horizontal="center" vertical="center" wrapText="1"/>
    </xf>
    <xf numFmtId="0" fontId="3" fillId="0" borderId="0" xfId="2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33" fillId="4" borderId="10" xfId="0" applyFont="1" applyFill="1" applyBorder="1" applyAlignment="1">
      <alignment horizontal="center" vertical="center" wrapText="1"/>
    </xf>
    <xf numFmtId="0" fontId="42" fillId="4" borderId="10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3" fillId="5" borderId="10" xfId="0" applyFont="1" applyFill="1" applyBorder="1" applyAlignment="1">
      <alignment horizontal="center" vertical="center" wrapText="1"/>
    </xf>
    <xf numFmtId="0" fontId="33" fillId="6" borderId="10" xfId="0" applyFont="1" applyFill="1" applyBorder="1" applyAlignment="1">
      <alignment horizontal="center" vertical="center" wrapText="1"/>
    </xf>
    <xf numFmtId="0" fontId="32" fillId="9" borderId="10" xfId="0" applyFont="1" applyFill="1" applyBorder="1" applyAlignment="1">
      <alignment horizontal="center" vertical="center" wrapText="1"/>
    </xf>
    <xf numFmtId="0" fontId="21" fillId="15" borderId="10" xfId="0" applyFont="1" applyFill="1" applyBorder="1" applyAlignment="1">
      <alignment horizontal="center" vertical="center" wrapText="1"/>
    </xf>
    <xf numFmtId="0" fontId="21" fillId="15" borderId="10" xfId="0" applyFont="1" applyFill="1" applyBorder="1" applyAlignment="1">
      <alignment horizontal="left" vertical="center" wrapText="1"/>
    </xf>
    <xf numFmtId="0" fontId="21" fillId="7" borderId="10" xfId="0" applyFont="1" applyFill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left" vertical="center" wrapText="1"/>
    </xf>
    <xf numFmtId="0" fontId="21" fillId="8" borderId="10" xfId="0" applyFont="1" applyFill="1" applyBorder="1" applyAlignment="1" applyProtection="1">
      <alignment horizontal="center" vertical="center" wrapText="1"/>
      <protection locked="0"/>
    </xf>
    <xf numFmtId="0" fontId="23" fillId="8" borderId="10" xfId="0" applyFont="1" applyFill="1" applyBorder="1" applyAlignment="1" applyProtection="1">
      <alignment vertical="center" wrapText="1"/>
      <protection locked="0"/>
    </xf>
    <xf numFmtId="0" fontId="34" fillId="16" borderId="10" xfId="0" applyFont="1" applyFill="1" applyBorder="1" applyAlignment="1" applyProtection="1">
      <alignment horizontal="center" vertical="center" wrapText="1"/>
      <protection locked="0"/>
    </xf>
    <xf numFmtId="0" fontId="21" fillId="16" borderId="10" xfId="0" applyFont="1" applyFill="1" applyBorder="1" applyAlignment="1" applyProtection="1">
      <alignment horizontal="left" vertical="center" wrapText="1"/>
      <protection locked="0"/>
    </xf>
    <xf numFmtId="41" fontId="21" fillId="16" borderId="10" xfId="1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41" fontId="28" fillId="16" borderId="10" xfId="1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left" vertical="center" wrapText="1"/>
    </xf>
    <xf numFmtId="0" fontId="21" fillId="3" borderId="10" xfId="0" applyFont="1" applyFill="1" applyBorder="1" applyAlignment="1" applyProtection="1">
      <alignment horizontal="center" vertical="center" wrapText="1"/>
      <protection locked="0"/>
    </xf>
    <xf numFmtId="0" fontId="23" fillId="3" borderId="10" xfId="0" applyFont="1" applyFill="1" applyBorder="1" applyAlignment="1" applyProtection="1">
      <alignment vertical="center" wrapText="1"/>
      <protection locked="0"/>
    </xf>
    <xf numFmtId="0" fontId="34" fillId="3" borderId="10" xfId="0" applyFont="1" applyFill="1" applyBorder="1" applyAlignment="1" applyProtection="1">
      <alignment horizontal="center" vertical="center" wrapText="1"/>
      <protection locked="0"/>
    </xf>
    <xf numFmtId="41" fontId="21" fillId="3" borderId="10" xfId="1" applyFont="1" applyFill="1" applyBorder="1" applyAlignment="1">
      <alignment horizontal="center" vertical="center" wrapText="1"/>
    </xf>
    <xf numFmtId="0" fontId="21" fillId="16" borderId="10" xfId="0" applyFont="1" applyFill="1" applyBorder="1" applyAlignment="1">
      <alignment horizontal="left"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23" fillId="8" borderId="10" xfId="0" applyFont="1" applyFill="1" applyBorder="1" applyAlignment="1">
      <alignment vertical="center" wrapText="1"/>
    </xf>
    <xf numFmtId="41" fontId="29" fillId="3" borderId="10" xfId="1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vertical="center" wrapText="1"/>
    </xf>
    <xf numFmtId="0" fontId="29" fillId="16" borderId="10" xfId="0" applyFont="1" applyFill="1" applyBorder="1" applyAlignment="1">
      <alignment horizontal="left" vertical="center" wrapText="1"/>
    </xf>
    <xf numFmtId="41" fontId="29" fillId="16" borderId="10" xfId="1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left" vertical="center"/>
    </xf>
    <xf numFmtId="0" fontId="29" fillId="3" borderId="10" xfId="0" applyFont="1" applyFill="1" applyBorder="1" applyAlignment="1">
      <alignment horizontal="left" vertical="center" wrapText="1"/>
    </xf>
    <xf numFmtId="41" fontId="29" fillId="3" borderId="10" xfId="1" applyFont="1" applyFill="1" applyBorder="1" applyAlignment="1">
      <alignment horizontal="right" vertical="center" wrapText="1"/>
    </xf>
    <xf numFmtId="41" fontId="0" fillId="3" borderId="10" xfId="0" applyNumberFormat="1" applyFill="1" applyBorder="1" applyAlignment="1">
      <alignment horizontal="center" vertical="center"/>
    </xf>
    <xf numFmtId="169" fontId="0" fillId="3" borderId="10" xfId="0" applyNumberFormat="1" applyFill="1" applyBorder="1" applyAlignment="1">
      <alignment horizontal="center" vertical="center"/>
    </xf>
    <xf numFmtId="0" fontId="34" fillId="16" borderId="10" xfId="0" applyFont="1" applyFill="1" applyBorder="1" applyAlignment="1">
      <alignment horizontal="center" vertical="center" wrapText="1"/>
    </xf>
    <xf numFmtId="0" fontId="21" fillId="16" borderId="10" xfId="0" applyFont="1" applyFill="1" applyBorder="1" applyAlignment="1">
      <alignment horizontal="center" vertical="center" wrapText="1"/>
    </xf>
    <xf numFmtId="0" fontId="21" fillId="16" borderId="10" xfId="0" applyFont="1" applyFill="1" applyBorder="1" applyAlignment="1">
      <alignment horizontal="left" vertical="center"/>
    </xf>
    <xf numFmtId="41" fontId="21" fillId="16" borderId="10" xfId="1" applyFont="1" applyFill="1" applyBorder="1" applyAlignment="1">
      <alignment horizontal="right" vertical="center"/>
    </xf>
    <xf numFmtId="0" fontId="34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left" vertical="center"/>
    </xf>
    <xf numFmtId="41" fontId="21" fillId="3" borderId="10" xfId="1" applyFont="1" applyFill="1" applyBorder="1" applyAlignment="1">
      <alignment horizontal="right" vertical="center"/>
    </xf>
    <xf numFmtId="0" fontId="21" fillId="3" borderId="26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left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vertical="center" wrapText="1"/>
    </xf>
    <xf numFmtId="0" fontId="34" fillId="3" borderId="12" xfId="0" applyFont="1" applyFill="1" applyBorder="1" applyAlignment="1">
      <alignment horizontal="center" vertical="center" wrapText="1"/>
    </xf>
    <xf numFmtId="41" fontId="45" fillId="3" borderId="12" xfId="1" applyFont="1" applyFill="1" applyBorder="1" applyAlignment="1">
      <alignment horizontal="right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16" borderId="0" xfId="0" applyFont="1" applyFill="1" applyAlignment="1">
      <alignment horizontal="right" vertical="center"/>
    </xf>
    <xf numFmtId="41" fontId="0" fillId="16" borderId="0" xfId="1" applyFont="1" applyFill="1" applyBorder="1" applyAlignment="1">
      <alignment horizontal="right" vertical="center"/>
    </xf>
    <xf numFmtId="0" fontId="21" fillId="16" borderId="0" xfId="0" applyFont="1" applyFill="1" applyAlignment="1">
      <alignment horizontal="center" vertical="center" wrapText="1"/>
    </xf>
    <xf numFmtId="0" fontId="41" fillId="0" borderId="0" xfId="0" applyFont="1" applyAlignment="1">
      <alignment horizontal="right" vertical="center"/>
    </xf>
    <xf numFmtId="41" fontId="46" fillId="0" borderId="0" xfId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3" fillId="4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21" fillId="16" borderId="27" xfId="0" applyFont="1" applyFill="1" applyBorder="1" applyAlignment="1">
      <alignment horizontal="left" vertical="center" wrapText="1"/>
    </xf>
    <xf numFmtId="41" fontId="21" fillId="16" borderId="10" xfId="1" applyFont="1" applyFill="1" applyBorder="1" applyAlignment="1">
      <alignment horizontal="right" vertical="center" wrapText="1"/>
    </xf>
    <xf numFmtId="41" fontId="35" fillId="16" borderId="10" xfId="1" applyFont="1" applyFill="1" applyBorder="1" applyAlignment="1">
      <alignment horizontal="center" vertical="center" wrapText="1"/>
    </xf>
    <xf numFmtId="41" fontId="0" fillId="3" borderId="10" xfId="1" applyFont="1" applyFill="1" applyBorder="1" applyAlignment="1">
      <alignment horizontal="right" vertical="center" wrapText="1"/>
    </xf>
    <xf numFmtId="0" fontId="0" fillId="3" borderId="0" xfId="0" applyFill="1" applyAlignment="1">
      <alignment horizontal="center" vertical="center"/>
    </xf>
    <xf numFmtId="0" fontId="21" fillId="3" borderId="28" xfId="0" applyFont="1" applyFill="1" applyBorder="1" applyAlignment="1">
      <alignment horizontal="left" vertical="center" wrapText="1"/>
    </xf>
    <xf numFmtId="41" fontId="21" fillId="3" borderId="10" xfId="1" applyFont="1" applyFill="1" applyBorder="1" applyAlignment="1">
      <alignment horizontal="right" vertical="center" wrapText="1"/>
    </xf>
    <xf numFmtId="41" fontId="35" fillId="3" borderId="10" xfId="1" applyFont="1" applyFill="1" applyBorder="1" applyAlignment="1">
      <alignment horizontal="center" vertical="center" wrapText="1"/>
    </xf>
    <xf numFmtId="0" fontId="21" fillId="16" borderId="28" xfId="0" applyFont="1" applyFill="1" applyBorder="1" applyAlignment="1">
      <alignment horizontal="left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left" vertical="center" wrapText="1"/>
    </xf>
    <xf numFmtId="41" fontId="0" fillId="3" borderId="10" xfId="1" quotePrefix="1" applyFont="1" applyFill="1" applyBorder="1" applyAlignment="1">
      <alignment horizontal="right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29" fillId="16" borderId="28" xfId="0" applyFont="1" applyFill="1" applyBorder="1" applyAlignment="1">
      <alignment horizontal="left" vertical="center" wrapText="1"/>
    </xf>
    <xf numFmtId="41" fontId="29" fillId="16" borderId="10" xfId="1" applyFont="1" applyFill="1" applyBorder="1" applyAlignment="1">
      <alignment horizontal="right" vertical="center" wrapText="1"/>
    </xf>
    <xf numFmtId="41" fontId="18" fillId="3" borderId="10" xfId="1" applyFont="1" applyFill="1" applyBorder="1" applyAlignment="1">
      <alignment horizontal="right" vertical="center" wrapText="1"/>
    </xf>
    <xf numFmtId="0" fontId="23" fillId="16" borderId="28" xfId="0" applyFont="1" applyFill="1" applyBorder="1" applyAlignment="1">
      <alignment vertical="center" wrapText="1"/>
    </xf>
    <xf numFmtId="0" fontId="41" fillId="3" borderId="2" xfId="0" applyFont="1" applyFill="1" applyBorder="1" applyAlignment="1">
      <alignment horizontal="right" vertical="center" wrapText="1"/>
    </xf>
    <xf numFmtId="41" fontId="41" fillId="3" borderId="21" xfId="1" applyFont="1" applyFill="1" applyBorder="1" applyAlignment="1">
      <alignment horizontal="center" vertical="center" wrapText="1"/>
    </xf>
    <xf numFmtId="41" fontId="0" fillId="3" borderId="0" xfId="1" applyFont="1" applyFill="1" applyAlignment="1">
      <alignment horizontal="center" vertical="center"/>
    </xf>
    <xf numFmtId="41" fontId="0" fillId="0" borderId="0" xfId="1" applyFont="1" applyFill="1" applyAlignment="1">
      <alignment horizontal="right" vertical="center"/>
    </xf>
    <xf numFmtId="0" fontId="33" fillId="4" borderId="29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33" fillId="5" borderId="17" xfId="0" applyFont="1" applyFill="1" applyBorder="1" applyAlignment="1">
      <alignment horizontal="center" vertical="center" wrapText="1"/>
    </xf>
    <xf numFmtId="0" fontId="33" fillId="15" borderId="30" xfId="0" applyFont="1" applyFill="1" applyBorder="1" applyAlignment="1">
      <alignment horizontal="center" vertical="center" wrapText="1"/>
    </xf>
    <xf numFmtId="41" fontId="21" fillId="16" borderId="20" xfId="1" applyFont="1" applyFill="1" applyBorder="1" applyAlignment="1">
      <alignment horizontal="right" vertical="center" wrapText="1"/>
    </xf>
    <xf numFmtId="41" fontId="35" fillId="16" borderId="11" xfId="1" applyFont="1" applyFill="1" applyBorder="1" applyAlignment="1">
      <alignment horizontal="center" vertical="center" wrapText="1"/>
    </xf>
    <xf numFmtId="41" fontId="21" fillId="16" borderId="11" xfId="1" applyFont="1" applyFill="1" applyBorder="1" applyAlignment="1">
      <alignment horizontal="center" vertical="center" wrapText="1"/>
    </xf>
    <xf numFmtId="41" fontId="21" fillId="16" borderId="11" xfId="1" applyFont="1" applyFill="1" applyBorder="1" applyAlignment="1">
      <alignment horizontal="right" vertical="center" wrapText="1"/>
    </xf>
    <xf numFmtId="41" fontId="0" fillId="3" borderId="10" xfId="1" applyFont="1" applyFill="1" applyBorder="1" applyAlignment="1">
      <alignment horizontal="right" vertical="center"/>
    </xf>
    <xf numFmtId="41" fontId="21" fillId="3" borderId="21" xfId="1" applyFont="1" applyFill="1" applyBorder="1" applyAlignment="1">
      <alignment horizontal="right" vertical="center" wrapText="1"/>
    </xf>
    <xf numFmtId="41" fontId="35" fillId="3" borderId="11" xfId="1" applyFont="1" applyFill="1" applyBorder="1" applyAlignment="1">
      <alignment horizontal="center" vertical="center" wrapText="1"/>
    </xf>
    <xf numFmtId="41" fontId="21" fillId="3" borderId="11" xfId="1" applyFont="1" applyFill="1" applyBorder="1" applyAlignment="1">
      <alignment horizontal="center" vertical="center" wrapText="1"/>
    </xf>
    <xf numFmtId="41" fontId="21" fillId="3" borderId="11" xfId="1" applyFont="1" applyFill="1" applyBorder="1" applyAlignment="1">
      <alignment horizontal="right" vertical="center" wrapText="1"/>
    </xf>
    <xf numFmtId="0" fontId="33" fillId="3" borderId="2" xfId="0" applyFont="1" applyFill="1" applyBorder="1" applyAlignment="1" applyProtection="1">
      <alignment horizontal="center" vertical="center" wrapText="1"/>
      <protection locked="0"/>
    </xf>
    <xf numFmtId="0" fontId="34" fillId="3" borderId="2" xfId="0" applyFont="1" applyFill="1" applyBorder="1" applyAlignment="1" applyProtection="1">
      <alignment vertical="center" wrapText="1"/>
      <protection locked="0"/>
    </xf>
    <xf numFmtId="41" fontId="21" fillId="16" borderId="21" xfId="1" applyFont="1" applyFill="1" applyBorder="1" applyAlignment="1">
      <alignment horizontal="right" vertical="center" wrapText="1"/>
    </xf>
    <xf numFmtId="0" fontId="47" fillId="3" borderId="2" xfId="0" applyFont="1" applyFill="1" applyBorder="1" applyAlignment="1">
      <alignment horizontal="left" vertical="center" wrapText="1"/>
    </xf>
    <xf numFmtId="41" fontId="47" fillId="3" borderId="21" xfId="1" applyFont="1" applyFill="1" applyBorder="1" applyAlignment="1">
      <alignment horizontal="right" vertical="center" wrapText="1"/>
    </xf>
    <xf numFmtId="0" fontId="33" fillId="3" borderId="30" xfId="0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center" vertical="center" wrapText="1"/>
    </xf>
    <xf numFmtId="0" fontId="33" fillId="3" borderId="3" xfId="0" applyFont="1" applyFill="1" applyBorder="1" applyAlignment="1">
      <alignment horizontal="left" vertical="center" wrapText="1"/>
    </xf>
    <xf numFmtId="0" fontId="33" fillId="8" borderId="3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vertical="center" wrapText="1"/>
    </xf>
    <xf numFmtId="0" fontId="21" fillId="16" borderId="3" xfId="0" applyFont="1" applyFill="1" applyBorder="1" applyAlignment="1">
      <alignment horizontal="left" vertical="center" wrapText="1"/>
    </xf>
    <xf numFmtId="41" fontId="21" fillId="16" borderId="9" xfId="1" applyFont="1" applyFill="1" applyBorder="1" applyAlignment="1">
      <alignment horizontal="right" vertical="center" wrapText="1"/>
    </xf>
    <xf numFmtId="0" fontId="21" fillId="0" borderId="11" xfId="0" applyFont="1" applyBorder="1" applyAlignment="1">
      <alignment horizontal="center" vertical="center"/>
    </xf>
    <xf numFmtId="41" fontId="21" fillId="3" borderId="11" xfId="1" applyFont="1" applyFill="1" applyBorder="1" applyAlignment="1">
      <alignment horizontal="right" vertical="center"/>
    </xf>
    <xf numFmtId="41" fontId="0" fillId="0" borderId="10" xfId="1" applyFont="1" applyFill="1" applyBorder="1" applyAlignment="1">
      <alignment horizontal="right" vertical="center"/>
    </xf>
    <xf numFmtId="0" fontId="33" fillId="3" borderId="32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left" vertical="center" wrapText="1"/>
    </xf>
    <xf numFmtId="0" fontId="33" fillId="3" borderId="3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vertical="center" wrapText="1"/>
    </xf>
    <xf numFmtId="0" fontId="34" fillId="3" borderId="3" xfId="0" applyFont="1" applyFill="1" applyBorder="1" applyAlignment="1">
      <alignment horizontal="center" vertical="center" wrapText="1"/>
    </xf>
    <xf numFmtId="0" fontId="41" fillId="3" borderId="3" xfId="0" applyFont="1" applyFill="1" applyBorder="1" applyAlignment="1">
      <alignment horizontal="right" vertical="center" wrapText="1"/>
    </xf>
    <xf numFmtId="3" fontId="48" fillId="3" borderId="9" xfId="0" applyNumberFormat="1" applyFont="1" applyFill="1" applyBorder="1" applyAlignment="1">
      <alignment horizontal="right" vertical="center" wrapText="1"/>
    </xf>
    <xf numFmtId="0" fontId="35" fillId="3" borderId="13" xfId="0" applyFont="1" applyFill="1" applyBorder="1" applyAlignment="1">
      <alignment horizontal="center" vertical="center" wrapText="1"/>
    </xf>
    <xf numFmtId="0" fontId="49" fillId="2" borderId="1" xfId="2" applyFont="1" applyFill="1" applyBorder="1" applyAlignment="1">
      <alignment horizontal="center" vertical="center" wrapText="1"/>
    </xf>
    <xf numFmtId="0" fontId="49" fillId="5" borderId="1" xfId="2" applyFont="1" applyFill="1" applyBorder="1" applyAlignment="1">
      <alignment horizontal="center" vertical="center" wrapText="1"/>
    </xf>
    <xf numFmtId="0" fontId="49" fillId="5" borderId="23" xfId="2" applyFont="1" applyFill="1" applyBorder="1" applyAlignment="1">
      <alignment horizontal="center" vertical="center" wrapText="1"/>
    </xf>
    <xf numFmtId="0" fontId="49" fillId="6" borderId="10" xfId="2" applyFont="1" applyFill="1" applyBorder="1" applyAlignment="1">
      <alignment horizontal="center" vertical="center" wrapText="1"/>
    </xf>
    <xf numFmtId="0" fontId="50" fillId="0" borderId="0" xfId="2" applyFont="1" applyAlignment="1">
      <alignment horizontal="center" vertical="center"/>
    </xf>
    <xf numFmtId="0" fontId="51" fillId="9" borderId="10" xfId="2" applyFont="1" applyFill="1" applyBorder="1" applyAlignment="1">
      <alignment horizontal="center" vertical="center" wrapText="1"/>
    </xf>
    <xf numFmtId="0" fontId="52" fillId="19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52" fillId="20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52" fillId="21" borderId="10" xfId="0" applyFont="1" applyFill="1" applyBorder="1" applyAlignment="1">
      <alignment horizontal="center" vertical="center" wrapText="1"/>
    </xf>
    <xf numFmtId="0" fontId="21" fillId="7" borderId="4" xfId="2" applyFont="1" applyFill="1" applyBorder="1" applyAlignment="1">
      <alignment horizontal="center" vertical="center" wrapText="1"/>
    </xf>
    <xf numFmtId="0" fontId="21" fillId="7" borderId="4" xfId="2" applyFont="1" applyFill="1" applyBorder="1" applyAlignment="1">
      <alignment horizontal="left" vertical="center" wrapText="1"/>
    </xf>
    <xf numFmtId="0" fontId="21" fillId="17" borderId="4" xfId="2" applyFont="1" applyFill="1" applyBorder="1" applyAlignment="1">
      <alignment horizontal="center" vertical="center" wrapText="1"/>
    </xf>
    <xf numFmtId="0" fontId="21" fillId="17" borderId="4" xfId="2" applyFont="1" applyFill="1" applyBorder="1" applyAlignment="1">
      <alignment horizontal="left" vertical="center" wrapText="1"/>
    </xf>
    <xf numFmtId="0" fontId="28" fillId="8" borderId="4" xfId="2" applyFont="1" applyFill="1" applyBorder="1" applyAlignment="1" applyProtection="1">
      <alignment horizontal="center" vertical="center" wrapText="1"/>
      <protection locked="0"/>
    </xf>
    <xf numFmtId="0" fontId="23" fillId="8" borderId="20" xfId="2" applyFont="1" applyFill="1" applyBorder="1" applyAlignment="1" applyProtection="1">
      <alignment vertical="center" wrapText="1"/>
      <protection locked="0"/>
    </xf>
    <xf numFmtId="0" fontId="28" fillId="18" borderId="10" xfId="2" applyFont="1" applyFill="1" applyBorder="1" applyAlignment="1" applyProtection="1">
      <alignment horizontal="center" vertical="center" wrapText="1"/>
      <protection locked="0"/>
    </xf>
    <xf numFmtId="0" fontId="21" fillId="18" borderId="10" xfId="2" applyFont="1" applyFill="1" applyBorder="1" applyAlignment="1" applyProtection="1">
      <alignment horizontal="left" vertical="center" wrapText="1"/>
      <protection locked="0"/>
    </xf>
    <xf numFmtId="41" fontId="21" fillId="18" borderId="10" xfId="3" applyFont="1" applyFill="1" applyBorder="1" applyAlignment="1">
      <alignment horizontal="center" vertical="center" wrapText="1"/>
    </xf>
    <xf numFmtId="41" fontId="21" fillId="3" borderId="10" xfId="3" applyFont="1" applyFill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center" wrapText="1"/>
    </xf>
    <xf numFmtId="41" fontId="21" fillId="0" borderId="10" xfId="3" applyFont="1" applyFill="1" applyBorder="1" applyAlignment="1">
      <alignment horizontal="center" vertical="center" wrapText="1"/>
    </xf>
    <xf numFmtId="41" fontId="21" fillId="0" borderId="10" xfId="3" applyFont="1" applyFill="1" applyBorder="1" applyAlignment="1">
      <alignment horizontal="left" vertical="center" wrapText="1"/>
    </xf>
    <xf numFmtId="0" fontId="18" fillId="0" borderId="10" xfId="2" applyFont="1" applyBorder="1" applyAlignment="1">
      <alignment horizontal="left" vertical="center" wrapText="1"/>
    </xf>
    <xf numFmtId="0" fontId="28" fillId="8" borderId="2" xfId="2" applyFont="1" applyFill="1" applyBorder="1" applyAlignment="1" applyProtection="1">
      <alignment horizontal="center" vertical="center" wrapText="1"/>
      <protection locked="0"/>
    </xf>
    <xf numFmtId="0" fontId="23" fillId="8" borderId="21" xfId="2" applyFont="1" applyFill="1" applyBorder="1" applyAlignment="1" applyProtection="1">
      <alignment vertical="center" wrapText="1"/>
      <protection locked="0"/>
    </xf>
    <xf numFmtId="165" fontId="21" fillId="0" borderId="10" xfId="3" applyNumberFormat="1" applyFont="1" applyFill="1" applyBorder="1" applyAlignment="1">
      <alignment horizontal="center" vertical="center" wrapText="1"/>
    </xf>
    <xf numFmtId="166" fontId="21" fillId="0" borderId="10" xfId="3" applyNumberFormat="1" applyFont="1" applyFill="1" applyBorder="1" applyAlignment="1">
      <alignment horizontal="center" vertical="center" wrapText="1"/>
    </xf>
    <xf numFmtId="0" fontId="3" fillId="0" borderId="10" xfId="2" applyBorder="1" applyAlignment="1">
      <alignment horizontal="center" vertical="center"/>
    </xf>
    <xf numFmtId="0" fontId="21" fillId="0" borderId="10" xfId="2" quotePrefix="1" applyFont="1" applyBorder="1" applyAlignment="1">
      <alignment horizontal="center" vertical="center" wrapText="1"/>
    </xf>
    <xf numFmtId="0" fontId="3" fillId="0" borderId="10" xfId="2" applyBorder="1" applyAlignment="1">
      <alignment horizontal="left" vertical="center"/>
    </xf>
    <xf numFmtId="0" fontId="21" fillId="17" borderId="2" xfId="2" applyFont="1" applyFill="1" applyBorder="1" applyAlignment="1">
      <alignment horizontal="center" vertical="center" wrapText="1"/>
    </xf>
    <xf numFmtId="0" fontId="21" fillId="17" borderId="2" xfId="2" applyFont="1" applyFill="1" applyBorder="1" applyAlignment="1">
      <alignment horizontal="left" vertical="center" wrapText="1"/>
    </xf>
    <xf numFmtId="0" fontId="23" fillId="8" borderId="21" xfId="2" applyFont="1" applyFill="1" applyBorder="1" applyAlignment="1">
      <alignment vertical="center" wrapText="1"/>
    </xf>
    <xf numFmtId="0" fontId="21" fillId="18" borderId="10" xfId="2" applyFont="1" applyFill="1" applyBorder="1" applyAlignment="1">
      <alignment horizontal="left" vertical="center" wrapText="1"/>
    </xf>
    <xf numFmtId="41" fontId="56" fillId="3" borderId="10" xfId="3" applyFont="1" applyFill="1" applyBorder="1" applyAlignment="1">
      <alignment horizontal="left" vertical="center" wrapText="1"/>
    </xf>
    <xf numFmtId="0" fontId="18" fillId="0" borderId="10" xfId="2" applyFont="1" applyBorder="1" applyAlignment="1">
      <alignment horizontal="left" vertical="center"/>
    </xf>
    <xf numFmtId="0" fontId="28" fillId="8" borderId="21" xfId="2" applyFont="1" applyFill="1" applyBorder="1" applyAlignment="1">
      <alignment vertical="center" wrapText="1"/>
    </xf>
    <xf numFmtId="0" fontId="23" fillId="8" borderId="21" xfId="2" applyFont="1" applyFill="1" applyBorder="1" applyAlignment="1">
      <alignment horizontal="left" vertical="center" wrapText="1"/>
    </xf>
    <xf numFmtId="41" fontId="21" fillId="18" borderId="10" xfId="3" applyFont="1" applyFill="1" applyBorder="1" applyAlignment="1">
      <alignment horizontal="left" vertical="center" wrapText="1"/>
    </xf>
    <xf numFmtId="41" fontId="21" fillId="3" borderId="10" xfId="3" applyFont="1" applyFill="1" applyBorder="1" applyAlignment="1">
      <alignment horizontal="left" vertical="center" wrapText="1"/>
    </xf>
    <xf numFmtId="41" fontId="28" fillId="0" borderId="10" xfId="3" applyFont="1" applyFill="1" applyBorder="1" applyAlignment="1">
      <alignment horizontal="left" vertical="center" wrapText="1"/>
    </xf>
    <xf numFmtId="41" fontId="21" fillId="0" borderId="10" xfId="3" quotePrefix="1" applyFont="1" applyFill="1" applyBorder="1" applyAlignment="1">
      <alignment horizontal="left" vertical="center" wrapText="1"/>
    </xf>
    <xf numFmtId="0" fontId="28" fillId="7" borderId="4" xfId="2" applyFont="1" applyFill="1" applyBorder="1" applyAlignment="1">
      <alignment horizontal="left" vertical="center" wrapText="1"/>
    </xf>
    <xf numFmtId="0" fontId="28" fillId="18" borderId="10" xfId="2" applyFont="1" applyFill="1" applyBorder="1" applyAlignment="1">
      <alignment horizontal="left" vertical="center" wrapText="1"/>
    </xf>
    <xf numFmtId="41" fontId="29" fillId="3" borderId="10" xfId="3" applyFont="1" applyFill="1" applyBorder="1" applyAlignment="1">
      <alignment horizontal="left" vertical="center" wrapText="1"/>
    </xf>
    <xf numFmtId="0" fontId="21" fillId="7" borderId="2" xfId="2" applyFont="1" applyFill="1" applyBorder="1" applyAlignment="1">
      <alignment horizontal="center" vertical="center" wrapText="1"/>
    </xf>
    <xf numFmtId="0" fontId="21" fillId="7" borderId="2" xfId="2" applyFont="1" applyFill="1" applyBorder="1" applyAlignment="1">
      <alignment horizontal="left" vertical="center" wrapText="1"/>
    </xf>
    <xf numFmtId="0" fontId="58" fillId="0" borderId="10" xfId="2" applyFont="1" applyBorder="1" applyAlignment="1">
      <alignment horizontal="left" vertical="center"/>
    </xf>
    <xf numFmtId="0" fontId="21" fillId="8" borderId="20" xfId="2" applyFont="1" applyFill="1" applyBorder="1" applyAlignment="1">
      <alignment horizontal="left" vertical="center" wrapText="1"/>
    </xf>
    <xf numFmtId="3" fontId="21" fillId="18" borderId="10" xfId="2" applyNumberFormat="1" applyFont="1" applyFill="1" applyBorder="1" applyAlignment="1">
      <alignment horizontal="right" vertical="center" wrapText="1"/>
    </xf>
    <xf numFmtId="0" fontId="21" fillId="18" borderId="10" xfId="2" applyFont="1" applyFill="1" applyBorder="1" applyAlignment="1">
      <alignment horizontal="center" vertical="center" wrapText="1"/>
    </xf>
    <xf numFmtId="0" fontId="21" fillId="3" borderId="10" xfId="2" applyFont="1" applyFill="1" applyBorder="1" applyAlignment="1">
      <alignment horizontal="center" vertical="center" wrapText="1"/>
    </xf>
    <xf numFmtId="0" fontId="33" fillId="0" borderId="24" xfId="2" applyFont="1" applyBorder="1" applyAlignment="1">
      <alignment horizontal="center" vertical="center" wrapText="1"/>
    </xf>
    <xf numFmtId="167" fontId="21" fillId="0" borderId="10" xfId="2" applyNumberFormat="1" applyFont="1" applyBorder="1" applyAlignment="1">
      <alignment horizontal="right" vertical="center" wrapText="1"/>
    </xf>
    <xf numFmtId="0" fontId="21" fillId="0" borderId="10" xfId="2" applyFont="1" applyBorder="1" applyAlignment="1">
      <alignment horizontal="center" vertical="center"/>
    </xf>
    <xf numFmtId="168" fontId="21" fillId="0" borderId="10" xfId="2" quotePrefix="1" applyNumberFormat="1" applyFont="1" applyBorder="1" applyAlignment="1">
      <alignment horizontal="left" vertical="center"/>
    </xf>
    <xf numFmtId="0" fontId="39" fillId="0" borderId="3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left" vertical="center" wrapText="1"/>
    </xf>
    <xf numFmtId="0" fontId="59" fillId="0" borderId="3" xfId="0" applyFont="1" applyBorder="1" applyAlignment="1">
      <alignment vertical="center" wrapText="1"/>
    </xf>
    <xf numFmtId="0" fontId="59" fillId="0" borderId="25" xfId="0" applyFont="1" applyBorder="1" applyAlignment="1">
      <alignment horizontal="center" vertical="center" wrapText="1"/>
    </xf>
    <xf numFmtId="0" fontId="21" fillId="11" borderId="25" xfId="0" applyFont="1" applyFill="1" applyBorder="1" applyAlignment="1">
      <alignment horizontal="center" vertical="center" wrapText="1"/>
    </xf>
    <xf numFmtId="41" fontId="21" fillId="11" borderId="25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1" fillId="16" borderId="10" xfId="2" applyFont="1" applyFill="1" applyBorder="1" applyAlignment="1">
      <alignment horizontal="center" vertical="center" wrapText="1"/>
    </xf>
    <xf numFmtId="41" fontId="41" fillId="16" borderId="10" xfId="2" applyNumberFormat="1" applyFont="1" applyFill="1" applyBorder="1" applyAlignment="1">
      <alignment horizontal="center" vertical="center"/>
    </xf>
    <xf numFmtId="0" fontId="66" fillId="6" borderId="10" xfId="0" applyFont="1" applyFill="1" applyBorder="1" applyAlignment="1">
      <alignment horizontal="center" vertical="center" wrapText="1"/>
    </xf>
    <xf numFmtId="0" fontId="40" fillId="6" borderId="10" xfId="0" applyFont="1" applyFill="1" applyBorder="1" applyAlignment="1">
      <alignment horizontal="center" vertical="center" wrapText="1"/>
    </xf>
    <xf numFmtId="0" fontId="69" fillId="6" borderId="10" xfId="0" applyFont="1" applyFill="1" applyBorder="1" applyAlignment="1">
      <alignment horizontal="center" vertical="center" wrapText="1"/>
    </xf>
    <xf numFmtId="0" fontId="70" fillId="9" borderId="10" xfId="0" applyFont="1" applyFill="1" applyBorder="1" applyAlignment="1">
      <alignment horizontal="center" vertical="center" wrapText="1"/>
    </xf>
    <xf numFmtId="0" fontId="71" fillId="9" borderId="10" xfId="0" applyFont="1" applyFill="1" applyBorder="1" applyAlignment="1">
      <alignment horizontal="center" vertical="center" wrapText="1"/>
    </xf>
    <xf numFmtId="0" fontId="72" fillId="22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41" fontId="0" fillId="0" borderId="10" xfId="0" applyNumberFormat="1" applyBorder="1" applyAlignment="1">
      <alignment horizontal="center" vertical="center"/>
    </xf>
    <xf numFmtId="0" fontId="44" fillId="9" borderId="10" xfId="0" applyFont="1" applyFill="1" applyBorder="1" applyAlignment="1">
      <alignment horizontal="center" vertical="center" wrapText="1"/>
    </xf>
    <xf numFmtId="0" fontId="32" fillId="22" borderId="10" xfId="0" applyFont="1" applyFill="1" applyBorder="1" applyAlignment="1">
      <alignment horizontal="center" vertical="center" wrapText="1"/>
    </xf>
    <xf numFmtId="41" fontId="0" fillId="0" borderId="0" xfId="0" applyNumberFormat="1" applyAlignment="1">
      <alignment horizontal="center" vertical="center"/>
    </xf>
    <xf numFmtId="41" fontId="15" fillId="3" borderId="10" xfId="1" applyFont="1" applyFill="1" applyBorder="1" applyAlignment="1">
      <alignment horizontal="center" vertical="center" wrapText="1"/>
    </xf>
    <xf numFmtId="41" fontId="15" fillId="16" borderId="10" xfId="1" applyFont="1" applyFill="1" applyBorder="1" applyAlignment="1">
      <alignment horizontal="center" vertical="center" wrapText="1"/>
    </xf>
    <xf numFmtId="41" fontId="41" fillId="3" borderId="34" xfId="1" applyFont="1" applyFill="1" applyBorder="1" applyAlignment="1">
      <alignment horizontal="center" vertical="center" wrapText="1"/>
    </xf>
    <xf numFmtId="0" fontId="21" fillId="23" borderId="10" xfId="0" applyFont="1" applyFill="1" applyBorder="1" applyAlignment="1">
      <alignment horizontal="left" vertical="center" wrapText="1"/>
    </xf>
    <xf numFmtId="41" fontId="21" fillId="23" borderId="11" xfId="1" applyFont="1" applyFill="1" applyBorder="1" applyAlignment="1">
      <alignment horizontal="center" vertical="center" wrapText="1"/>
    </xf>
    <xf numFmtId="41" fontId="21" fillId="23" borderId="11" xfId="1" applyFont="1" applyFill="1" applyBorder="1" applyAlignment="1">
      <alignment horizontal="right" vertical="center" wrapText="1"/>
    </xf>
    <xf numFmtId="41" fontId="21" fillId="23" borderId="10" xfId="1" applyFont="1" applyFill="1" applyBorder="1" applyAlignment="1">
      <alignment horizontal="center" vertical="center" wrapText="1"/>
    </xf>
    <xf numFmtId="41" fontId="21" fillId="0" borderId="11" xfId="0" applyNumberFormat="1" applyFont="1" applyBorder="1" applyAlignment="1">
      <alignment horizontal="center" vertical="center"/>
    </xf>
    <xf numFmtId="41" fontId="28" fillId="3" borderId="10" xfId="1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/>
    </xf>
    <xf numFmtId="0" fontId="28" fillId="16" borderId="10" xfId="0" applyFont="1" applyFill="1" applyBorder="1" applyAlignment="1" applyProtection="1">
      <alignment horizontal="left" vertical="center" wrapText="1"/>
      <protection locked="0"/>
    </xf>
    <xf numFmtId="41" fontId="76" fillId="16" borderId="10" xfId="1" applyFont="1" applyFill="1" applyBorder="1" applyAlignment="1">
      <alignment horizontal="right" vertical="center" wrapText="1"/>
    </xf>
    <xf numFmtId="0" fontId="28" fillId="3" borderId="10" xfId="0" applyFont="1" applyFill="1" applyBorder="1" applyAlignment="1" applyProtection="1">
      <alignment horizontal="left" vertical="center" wrapText="1"/>
      <protection locked="0"/>
    </xf>
    <xf numFmtId="41" fontId="76" fillId="3" borderId="10" xfId="1" applyFont="1" applyFill="1" applyBorder="1" applyAlignment="1">
      <alignment horizontal="right" vertical="center" wrapText="1"/>
    </xf>
    <xf numFmtId="0" fontId="28" fillId="3" borderId="10" xfId="0" applyFont="1" applyFill="1" applyBorder="1" applyAlignment="1">
      <alignment horizontal="left" vertical="center" wrapText="1"/>
    </xf>
    <xf numFmtId="0" fontId="28" fillId="16" borderId="10" xfId="0" applyFont="1" applyFill="1" applyBorder="1" applyAlignment="1">
      <alignment horizontal="left" vertical="center" wrapText="1"/>
    </xf>
    <xf numFmtId="0" fontId="28" fillId="16" borderId="2" xfId="0" applyFont="1" applyFill="1" applyBorder="1" applyAlignment="1">
      <alignment horizontal="left" vertical="center" wrapText="1"/>
    </xf>
    <xf numFmtId="0" fontId="28" fillId="16" borderId="2" xfId="0" applyFont="1" applyFill="1" applyBorder="1" applyAlignment="1">
      <alignment vertical="center" wrapText="1"/>
    </xf>
    <xf numFmtId="41" fontId="28" fillId="3" borderId="11" xfId="1" applyFont="1" applyFill="1" applyBorder="1" applyAlignment="1">
      <alignment horizontal="center" vertical="center" wrapText="1"/>
    </xf>
    <xf numFmtId="41" fontId="28" fillId="3" borderId="11" xfId="1" applyFont="1" applyFill="1" applyBorder="1" applyAlignment="1">
      <alignment horizontal="right" vertical="center" wrapText="1"/>
    </xf>
    <xf numFmtId="41" fontId="28" fillId="23" borderId="11" xfId="1" applyFont="1" applyFill="1" applyBorder="1" applyAlignment="1">
      <alignment horizontal="center" vertical="center" wrapText="1"/>
    </xf>
    <xf numFmtId="41" fontId="28" fillId="23" borderId="11" xfId="1" applyFont="1" applyFill="1" applyBorder="1" applyAlignment="1">
      <alignment horizontal="right" vertical="center" wrapText="1"/>
    </xf>
    <xf numFmtId="41" fontId="76" fillId="3" borderId="11" xfId="1" applyFont="1" applyFill="1" applyBorder="1" applyAlignment="1">
      <alignment horizontal="right" vertical="center" wrapText="1"/>
    </xf>
    <xf numFmtId="41" fontId="45" fillId="3" borderId="13" xfId="1" applyFont="1" applyFill="1" applyBorder="1" applyAlignment="1">
      <alignment horizontal="right" vertical="center" wrapText="1"/>
    </xf>
    <xf numFmtId="41" fontId="47" fillId="3" borderId="10" xfId="1" applyFont="1" applyFill="1" applyBorder="1" applyAlignment="1">
      <alignment horizontal="right" vertical="center" wrapText="1"/>
    </xf>
    <xf numFmtId="9" fontId="44" fillId="9" borderId="10" xfId="4" applyFont="1" applyFill="1" applyBorder="1" applyAlignment="1">
      <alignment horizontal="center" vertical="center" wrapText="1"/>
    </xf>
    <xf numFmtId="9" fontId="28" fillId="16" borderId="10" xfId="4" applyFont="1" applyFill="1" applyBorder="1" applyAlignment="1">
      <alignment horizontal="center" vertical="center" wrapText="1"/>
    </xf>
    <xf numFmtId="9" fontId="21" fillId="3" borderId="10" xfId="4" applyFont="1" applyFill="1" applyBorder="1" applyAlignment="1">
      <alignment horizontal="center" vertical="center" wrapText="1"/>
    </xf>
    <xf numFmtId="9" fontId="21" fillId="16" borderId="10" xfId="4" applyFont="1" applyFill="1" applyBorder="1" applyAlignment="1">
      <alignment horizontal="center" vertical="center" wrapText="1"/>
    </xf>
    <xf numFmtId="9" fontId="29" fillId="3" borderId="10" xfId="4" applyFont="1" applyFill="1" applyBorder="1" applyAlignment="1">
      <alignment horizontal="center" vertical="center" wrapText="1"/>
    </xf>
    <xf numFmtId="9" fontId="29" fillId="16" borderId="10" xfId="4" applyFont="1" applyFill="1" applyBorder="1" applyAlignment="1">
      <alignment horizontal="center" vertical="center" wrapText="1"/>
    </xf>
    <xf numFmtId="9" fontId="29" fillId="3" borderId="10" xfId="4" applyFont="1" applyFill="1" applyBorder="1" applyAlignment="1">
      <alignment horizontal="right" vertical="center" wrapText="1"/>
    </xf>
    <xf numFmtId="9" fontId="21" fillId="3" borderId="10" xfId="4" applyFont="1" applyFill="1" applyBorder="1" applyAlignment="1">
      <alignment horizontal="right" vertical="center"/>
    </xf>
    <xf numFmtId="9" fontId="0" fillId="3" borderId="10" xfId="4" applyFont="1" applyFill="1" applyBorder="1" applyAlignment="1">
      <alignment horizontal="center" vertical="center"/>
    </xf>
    <xf numFmtId="9" fontId="21" fillId="16" borderId="10" xfId="4" applyFont="1" applyFill="1" applyBorder="1" applyAlignment="1">
      <alignment horizontal="right" vertical="center"/>
    </xf>
    <xf numFmtId="9" fontId="0" fillId="0" borderId="0" xfId="4" applyFont="1" applyAlignment="1">
      <alignment horizontal="center" vertical="center"/>
    </xf>
    <xf numFmtId="9" fontId="0" fillId="0" borderId="10" xfId="4" applyFont="1" applyBorder="1" applyAlignment="1">
      <alignment horizontal="center" vertical="center"/>
    </xf>
    <xf numFmtId="9" fontId="21" fillId="16" borderId="10" xfId="4" applyFont="1" applyFill="1" applyBorder="1" applyAlignment="1">
      <alignment horizontal="right" vertical="center" wrapText="1"/>
    </xf>
    <xf numFmtId="9" fontId="21" fillId="3" borderId="10" xfId="4" applyFont="1" applyFill="1" applyBorder="1" applyAlignment="1">
      <alignment horizontal="right" vertical="center" wrapText="1"/>
    </xf>
    <xf numFmtId="9" fontId="29" fillId="16" borderId="10" xfId="4" applyFont="1" applyFill="1" applyBorder="1" applyAlignment="1">
      <alignment horizontal="right" vertical="center" wrapText="1"/>
    </xf>
    <xf numFmtId="9" fontId="0" fillId="3" borderId="0" xfId="4" applyFont="1" applyFill="1" applyAlignment="1">
      <alignment horizontal="center" vertical="center"/>
    </xf>
    <xf numFmtId="9" fontId="0" fillId="0" borderId="0" xfId="4" applyFont="1" applyFill="1" applyAlignment="1">
      <alignment horizontal="center" vertical="center"/>
    </xf>
    <xf numFmtId="9" fontId="69" fillId="6" borderId="10" xfId="4" applyFont="1" applyFill="1" applyBorder="1" applyAlignment="1">
      <alignment horizontal="center" vertical="center" wrapText="1"/>
    </xf>
    <xf numFmtId="9" fontId="21" fillId="16" borderId="11" xfId="4" applyFont="1" applyFill="1" applyBorder="1" applyAlignment="1">
      <alignment horizontal="right" vertical="center" wrapText="1"/>
    </xf>
    <xf numFmtId="9" fontId="21" fillId="3" borderId="11" xfId="4" applyFont="1" applyFill="1" applyBorder="1" applyAlignment="1">
      <alignment horizontal="right" vertical="center" wrapText="1"/>
    </xf>
    <xf numFmtId="9" fontId="28" fillId="3" borderId="11" xfId="4" applyFont="1" applyFill="1" applyBorder="1" applyAlignment="1">
      <alignment horizontal="right" vertical="center" wrapText="1"/>
    </xf>
    <xf numFmtId="9" fontId="28" fillId="16" borderId="11" xfId="4" applyFont="1" applyFill="1" applyBorder="1" applyAlignment="1">
      <alignment horizontal="right" vertical="center" wrapText="1"/>
    </xf>
    <xf numFmtId="9" fontId="21" fillId="3" borderId="11" xfId="4" applyFont="1" applyFill="1" applyBorder="1" applyAlignment="1">
      <alignment horizontal="right" vertical="center"/>
    </xf>
    <xf numFmtId="9" fontId="47" fillId="3" borderId="10" xfId="4" applyFont="1" applyFill="1" applyBorder="1" applyAlignment="1">
      <alignment horizontal="right" vertical="center" wrapText="1"/>
    </xf>
    <xf numFmtId="9" fontId="48" fillId="3" borderId="10" xfId="4" applyFont="1" applyFill="1" applyBorder="1" applyAlignment="1">
      <alignment horizontal="right" vertical="center" wrapText="1"/>
    </xf>
    <xf numFmtId="9" fontId="76" fillId="16" borderId="10" xfId="4" applyFont="1" applyFill="1" applyBorder="1" applyAlignment="1">
      <alignment horizontal="right" vertical="center" wrapText="1"/>
    </xf>
    <xf numFmtId="9" fontId="76" fillId="3" borderId="10" xfId="4" applyFont="1" applyFill="1" applyBorder="1" applyAlignment="1">
      <alignment horizontal="right" vertical="center" wrapText="1"/>
    </xf>
    <xf numFmtId="9" fontId="76" fillId="3" borderId="11" xfId="4" applyFont="1" applyFill="1" applyBorder="1" applyAlignment="1">
      <alignment horizontal="right" vertical="center" wrapText="1"/>
    </xf>
    <xf numFmtId="9" fontId="45" fillId="3" borderId="13" xfId="4" applyFont="1" applyFill="1" applyBorder="1" applyAlignment="1">
      <alignment horizontal="right" vertical="center" wrapText="1"/>
    </xf>
    <xf numFmtId="9" fontId="0" fillId="16" borderId="0" xfId="4" applyFont="1" applyFill="1" applyBorder="1" applyAlignment="1">
      <alignment horizontal="right" vertical="center"/>
    </xf>
    <xf numFmtId="9" fontId="46" fillId="0" borderId="0" xfId="4" applyFont="1" applyFill="1" applyBorder="1" applyAlignment="1">
      <alignment horizontal="right" vertical="center"/>
    </xf>
    <xf numFmtId="9" fontId="0" fillId="0" borderId="0" xfId="4" applyFont="1" applyAlignment="1">
      <alignment horizontal="right" vertical="center"/>
    </xf>
    <xf numFmtId="9" fontId="0" fillId="0" borderId="10" xfId="4" applyFont="1" applyBorder="1" applyAlignment="1">
      <alignment horizontal="right" vertical="center"/>
    </xf>
    <xf numFmtId="9" fontId="41" fillId="3" borderId="21" xfId="4" applyFont="1" applyFill="1" applyBorder="1" applyAlignment="1">
      <alignment horizontal="center" vertical="center" wrapText="1"/>
    </xf>
    <xf numFmtId="0" fontId="77" fillId="3" borderId="10" xfId="0" applyFont="1" applyFill="1" applyBorder="1" applyAlignment="1" applyProtection="1">
      <alignment horizontal="center" vertical="center" wrapText="1"/>
      <protection locked="0"/>
    </xf>
    <xf numFmtId="41" fontId="63" fillId="3" borderId="10" xfId="1" applyFont="1" applyFill="1" applyBorder="1" applyAlignment="1">
      <alignment horizontal="right" vertical="center" wrapText="1"/>
    </xf>
    <xf numFmtId="0" fontId="78" fillId="3" borderId="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41" fontId="0" fillId="0" borderId="0" xfId="0" applyNumberFormat="1" applyAlignment="1">
      <alignment horizontal="right" vertical="center"/>
    </xf>
    <xf numFmtId="0" fontId="21" fillId="6" borderId="5" xfId="0" applyFont="1" applyFill="1" applyBorder="1" applyAlignment="1">
      <alignment horizontal="center" vertical="center" wrapText="1"/>
    </xf>
    <xf numFmtId="0" fontId="79" fillId="9" borderId="5" xfId="0" applyFont="1" applyFill="1" applyBorder="1" applyAlignment="1">
      <alignment horizontal="center" vertical="center" wrapText="1"/>
    </xf>
    <xf numFmtId="0" fontId="79" fillId="9" borderId="0" xfId="0" applyFont="1" applyFill="1" applyAlignment="1">
      <alignment horizontal="center" vertical="center" wrapText="1"/>
    </xf>
    <xf numFmtId="0" fontId="21" fillId="15" borderId="16" xfId="0" applyFont="1" applyFill="1" applyBorder="1" applyAlignment="1">
      <alignment horizontal="center" vertical="center" wrapText="1"/>
    </xf>
    <xf numFmtId="0" fontId="23" fillId="16" borderId="10" xfId="0" applyFont="1" applyFill="1" applyBorder="1" applyAlignment="1" applyProtection="1">
      <alignment horizontal="center" vertical="center" wrapText="1"/>
      <protection locked="0"/>
    </xf>
    <xf numFmtId="41" fontId="28" fillId="16" borderId="11" xfId="1" applyFont="1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left" vertical="center" wrapText="1"/>
    </xf>
    <xf numFmtId="41" fontId="21" fillId="11" borderId="10" xfId="1" applyFont="1" applyFill="1" applyBorder="1" applyAlignment="1">
      <alignment horizontal="center" vertical="center" wrapText="1"/>
    </xf>
    <xf numFmtId="0" fontId="23" fillId="3" borderId="10" xfId="0" applyFont="1" applyFill="1" applyBorder="1" applyAlignment="1" applyProtection="1">
      <alignment horizontal="center" vertical="center" wrapText="1"/>
      <protection locked="0"/>
    </xf>
    <xf numFmtId="0" fontId="21" fillId="3" borderId="10" xfId="0" applyFont="1" applyFill="1" applyBorder="1" applyAlignment="1" applyProtection="1">
      <alignment horizontal="left" vertical="center" wrapText="1"/>
      <protection locked="0"/>
    </xf>
    <xf numFmtId="0" fontId="24" fillId="3" borderId="10" xfId="0" applyFont="1" applyFill="1" applyBorder="1" applyAlignment="1">
      <alignment horizontal="left" vertical="center" wrapText="1"/>
    </xf>
    <xf numFmtId="41" fontId="80" fillId="3" borderId="10" xfId="1" applyFont="1" applyFill="1" applyBorder="1" applyAlignment="1">
      <alignment horizontal="right" vertical="center" wrapText="1"/>
    </xf>
    <xf numFmtId="41" fontId="80" fillId="3" borderId="11" xfId="1" applyFont="1" applyFill="1" applyBorder="1" applyAlignment="1">
      <alignment horizontal="right" vertical="center" wrapText="1"/>
    </xf>
    <xf numFmtId="41" fontId="25" fillId="11" borderId="10" xfId="1" applyFont="1" applyFill="1" applyBorder="1" applyAlignment="1">
      <alignment horizontal="left" vertical="center" wrapText="1"/>
    </xf>
    <xf numFmtId="41" fontId="25" fillId="11" borderId="10" xfId="1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0" fontId="21" fillId="14" borderId="10" xfId="0" applyFont="1" applyFill="1" applyBorder="1" applyAlignment="1">
      <alignment horizontal="left" vertical="center" wrapText="1"/>
    </xf>
    <xf numFmtId="41" fontId="28" fillId="14" borderId="10" xfId="1" applyFont="1" applyFill="1" applyBorder="1" applyAlignment="1">
      <alignment horizontal="center" vertical="center" wrapText="1"/>
    </xf>
    <xf numFmtId="41" fontId="28" fillId="14" borderId="11" xfId="1" applyFont="1" applyFill="1" applyBorder="1" applyAlignment="1">
      <alignment horizontal="center" vertical="center" wrapText="1"/>
    </xf>
    <xf numFmtId="164" fontId="28" fillId="3" borderId="10" xfId="0" applyNumberFormat="1" applyFont="1" applyFill="1" applyBorder="1" applyAlignment="1">
      <alignment horizontal="right" vertical="center" wrapText="1"/>
    </xf>
    <xf numFmtId="41" fontId="28" fillId="3" borderId="11" xfId="0" applyNumberFormat="1" applyFont="1" applyFill="1" applyBorder="1" applyAlignment="1">
      <alignment horizontal="right" vertical="center" wrapText="1"/>
    </xf>
    <xf numFmtId="0" fontId="26" fillId="8" borderId="10" xfId="0" applyFont="1" applyFill="1" applyBorder="1" applyAlignment="1">
      <alignment vertical="center" wrapText="1"/>
    </xf>
    <xf numFmtId="0" fontId="26" fillId="16" borderId="10" xfId="0" applyFont="1" applyFill="1" applyBorder="1" applyAlignment="1" applyProtection="1">
      <alignment horizontal="center" vertical="center" wrapText="1"/>
      <protection locked="0"/>
    </xf>
    <xf numFmtId="0" fontId="26" fillId="16" borderId="10" xfId="0" applyFont="1" applyFill="1" applyBorder="1" applyAlignment="1">
      <alignment horizontal="left" vertical="center" wrapText="1"/>
    </xf>
    <xf numFmtId="0" fontId="21" fillId="15" borderId="26" xfId="0" applyFont="1" applyFill="1" applyBorder="1" applyAlignment="1">
      <alignment horizontal="center" vertical="center" wrapText="1"/>
    </xf>
    <xf numFmtId="0" fontId="21" fillId="15" borderId="12" xfId="0" applyFont="1" applyFill="1" applyBorder="1" applyAlignment="1">
      <alignment horizontal="left" vertical="center" wrapText="1"/>
    </xf>
    <xf numFmtId="0" fontId="26" fillId="3" borderId="12" xfId="0" applyFont="1" applyFill="1" applyBorder="1" applyAlignment="1">
      <alignment vertical="center" wrapText="1"/>
    </xf>
    <xf numFmtId="0" fontId="26" fillId="3" borderId="12" xfId="0" applyFont="1" applyFill="1" applyBorder="1" applyAlignment="1" applyProtection="1">
      <alignment horizontal="center" vertical="center" wrapText="1"/>
      <protection locked="0"/>
    </xf>
    <xf numFmtId="0" fontId="26" fillId="3" borderId="12" xfId="0" applyFont="1" applyFill="1" applyBorder="1" applyAlignment="1">
      <alignment horizontal="left" vertical="center" wrapText="1"/>
    </xf>
    <xf numFmtId="41" fontId="21" fillId="3" borderId="12" xfId="1" applyFont="1" applyFill="1" applyBorder="1" applyAlignment="1">
      <alignment horizontal="center" vertical="center" wrapText="1"/>
    </xf>
    <xf numFmtId="41" fontId="21" fillId="3" borderId="13" xfId="1" applyFont="1" applyFill="1" applyBorder="1" applyAlignment="1">
      <alignment horizontal="center" vertical="center" wrapText="1"/>
    </xf>
    <xf numFmtId="0" fontId="21" fillId="3" borderId="39" xfId="0" applyFont="1" applyFill="1" applyBorder="1" applyAlignment="1">
      <alignment horizontal="left" vertical="center" wrapText="1"/>
    </xf>
    <xf numFmtId="41" fontId="21" fillId="3" borderId="39" xfId="1" applyFont="1" applyFill="1" applyBorder="1" applyAlignment="1">
      <alignment horizontal="center" vertical="center" wrapText="1"/>
    </xf>
    <xf numFmtId="0" fontId="46" fillId="16" borderId="0" xfId="0" applyFont="1" applyFill="1" applyAlignment="1">
      <alignment horizontal="center" vertical="center"/>
    </xf>
    <xf numFmtId="41" fontId="46" fillId="16" borderId="0" xfId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41" fontId="0" fillId="0" borderId="0" xfId="1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0" fillId="16" borderId="0" xfId="0" applyFill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41" fontId="81" fillId="0" borderId="0" xfId="1" applyFont="1" applyAlignment="1">
      <alignment horizontal="center" vertical="center" wrapText="1"/>
    </xf>
    <xf numFmtId="0" fontId="28" fillId="8" borderId="35" xfId="2" applyFont="1" applyFill="1" applyBorder="1" applyAlignment="1">
      <alignment horizontal="center" vertical="center" wrapText="1"/>
    </xf>
    <xf numFmtId="0" fontId="28" fillId="18" borderId="10" xfId="2" applyFont="1" applyFill="1" applyBorder="1" applyAlignment="1">
      <alignment horizontal="center" vertical="center" wrapText="1"/>
    </xf>
    <xf numFmtId="0" fontId="28" fillId="8" borderId="2" xfId="2" applyFont="1" applyFill="1" applyBorder="1" applyAlignment="1">
      <alignment horizontal="center" vertical="center" wrapText="1"/>
    </xf>
    <xf numFmtId="41" fontId="21" fillId="18" borderId="10" xfId="3" applyFont="1" applyFill="1" applyBorder="1" applyAlignment="1">
      <alignment horizontal="right" vertical="center" wrapText="1"/>
    </xf>
    <xf numFmtId="0" fontId="0" fillId="0" borderId="0" xfId="2" applyFont="1" applyAlignment="1">
      <alignment vertical="center"/>
    </xf>
    <xf numFmtId="41" fontId="3" fillId="0" borderId="0" xfId="3" applyAlignment="1">
      <alignment horizontal="center" vertical="center"/>
    </xf>
    <xf numFmtId="0" fontId="3" fillId="0" borderId="0" xfId="2" applyAlignment="1">
      <alignment vertical="center"/>
    </xf>
    <xf numFmtId="41" fontId="3" fillId="0" borderId="0" xfId="2" applyNumberFormat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83" fillId="24" borderId="0" xfId="5" applyAlignment="1">
      <alignment horizontal="center" vertical="center"/>
    </xf>
    <xf numFmtId="41" fontId="28" fillId="16" borderId="20" xfId="1" applyFont="1" applyFill="1" applyBorder="1" applyAlignment="1">
      <alignment horizontal="center" vertical="center" wrapText="1"/>
    </xf>
    <xf numFmtId="41" fontId="28" fillId="16" borderId="19" xfId="1" applyFont="1" applyFill="1" applyBorder="1" applyAlignment="1">
      <alignment horizontal="center" vertical="center" wrapText="1"/>
    </xf>
    <xf numFmtId="41" fontId="28" fillId="3" borderId="21" xfId="1" applyFont="1" applyFill="1" applyBorder="1" applyAlignment="1">
      <alignment horizontal="center" vertical="center" wrapText="1"/>
    </xf>
    <xf numFmtId="41" fontId="28" fillId="3" borderId="19" xfId="1" applyFont="1" applyFill="1" applyBorder="1" applyAlignment="1">
      <alignment horizontal="center" vertical="center" wrapText="1"/>
    </xf>
    <xf numFmtId="41" fontId="28" fillId="16" borderId="21" xfId="1" applyFont="1" applyFill="1" applyBorder="1" applyAlignment="1">
      <alignment horizontal="center" vertical="center" wrapText="1"/>
    </xf>
    <xf numFmtId="41" fontId="28" fillId="0" borderId="21" xfId="1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left" vertical="center"/>
    </xf>
    <xf numFmtId="41" fontId="28" fillId="0" borderId="19" xfId="1" applyFont="1" applyFill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16" borderId="0" xfId="0" applyFont="1" applyFill="1" applyAlignment="1">
      <alignment horizontal="center" vertical="center"/>
    </xf>
    <xf numFmtId="41" fontId="84" fillId="0" borderId="0" xfId="1" applyFont="1" applyFill="1" applyAlignment="1">
      <alignment horizontal="center" vertical="center"/>
    </xf>
    <xf numFmtId="0" fontId="30" fillId="11" borderId="0" xfId="0" applyFont="1" applyFill="1" applyAlignment="1">
      <alignment horizontal="left" vertical="center"/>
    </xf>
    <xf numFmtId="41" fontId="86" fillId="11" borderId="0" xfId="1" applyFont="1" applyFill="1" applyAlignment="1">
      <alignment horizontal="center" vertical="center"/>
    </xf>
    <xf numFmtId="0" fontId="30" fillId="11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41" fontId="81" fillId="0" borderId="0" xfId="1" applyFont="1" applyAlignment="1">
      <alignment horizontal="right" vertical="center"/>
    </xf>
    <xf numFmtId="0" fontId="78" fillId="15" borderId="4" xfId="0" applyFont="1" applyFill="1" applyBorder="1" applyAlignment="1">
      <alignment horizontal="center" vertical="center" wrapText="1"/>
    </xf>
    <xf numFmtId="0" fontId="78" fillId="15" borderId="4" xfId="0" applyFont="1" applyFill="1" applyBorder="1" applyAlignment="1">
      <alignment horizontal="left" vertical="center" wrapText="1"/>
    </xf>
    <xf numFmtId="0" fontId="78" fillId="7" borderId="4" xfId="0" applyFont="1" applyFill="1" applyBorder="1" applyAlignment="1">
      <alignment horizontal="center" vertical="center" wrapText="1"/>
    </xf>
    <xf numFmtId="0" fontId="78" fillId="7" borderId="4" xfId="0" applyFont="1" applyFill="1" applyBorder="1" applyAlignment="1">
      <alignment horizontal="left" vertical="center" wrapText="1"/>
    </xf>
    <xf numFmtId="0" fontId="78" fillId="8" borderId="4" xfId="0" applyFont="1" applyFill="1" applyBorder="1" applyAlignment="1" applyProtection="1">
      <alignment horizontal="center" vertical="center" wrapText="1"/>
      <protection locked="0"/>
    </xf>
    <xf numFmtId="0" fontId="77" fillId="8" borderId="20" xfId="0" applyFont="1" applyFill="1" applyBorder="1" applyAlignment="1" applyProtection="1">
      <alignment vertical="center" wrapText="1"/>
      <protection locked="0"/>
    </xf>
    <xf numFmtId="0" fontId="77" fillId="16" borderId="10" xfId="0" applyFont="1" applyFill="1" applyBorder="1" applyAlignment="1" applyProtection="1">
      <alignment horizontal="center" vertical="center" wrapText="1"/>
      <protection locked="0"/>
    </xf>
    <xf numFmtId="0" fontId="78" fillId="16" borderId="10" xfId="0" applyFont="1" applyFill="1" applyBorder="1" applyAlignment="1" applyProtection="1">
      <alignment horizontal="left" vertical="center" wrapText="1"/>
      <protection locked="0"/>
    </xf>
    <xf numFmtId="41" fontId="87" fillId="16" borderId="10" xfId="1" applyFont="1" applyFill="1" applyBorder="1" applyAlignment="1">
      <alignment horizontal="center" vertical="center" wrapText="1"/>
    </xf>
    <xf numFmtId="0" fontId="78" fillId="16" borderId="22" xfId="0" applyFont="1" applyFill="1" applyBorder="1" applyAlignment="1" applyProtection="1">
      <alignment horizontal="left" vertical="center" wrapText="1"/>
      <protection locked="0"/>
    </xf>
    <xf numFmtId="41" fontId="87" fillId="16" borderId="22" xfId="1" applyFont="1" applyFill="1" applyBorder="1" applyAlignment="1">
      <alignment horizontal="center" vertical="center" wrapText="1"/>
    </xf>
    <xf numFmtId="0" fontId="78" fillId="15" borderId="2" xfId="0" applyFont="1" applyFill="1" applyBorder="1" applyAlignment="1">
      <alignment horizontal="center" vertical="center" wrapText="1"/>
    </xf>
    <xf numFmtId="0" fontId="78" fillId="15" borderId="2" xfId="0" applyFont="1" applyFill="1" applyBorder="1" applyAlignment="1">
      <alignment horizontal="left" vertical="center" wrapText="1"/>
    </xf>
    <xf numFmtId="0" fontId="78" fillId="7" borderId="2" xfId="0" applyFont="1" applyFill="1" applyBorder="1" applyAlignment="1">
      <alignment horizontal="center" vertical="center" wrapText="1"/>
    </xf>
    <xf numFmtId="0" fontId="78" fillId="7" borderId="2" xfId="0" applyFont="1" applyFill="1" applyBorder="1" applyAlignment="1">
      <alignment horizontal="left" vertical="center" wrapText="1"/>
    </xf>
    <xf numFmtId="0" fontId="78" fillId="8" borderId="2" xfId="0" applyFont="1" applyFill="1" applyBorder="1" applyAlignment="1" applyProtection="1">
      <alignment horizontal="center" vertical="center" wrapText="1"/>
      <protection locked="0"/>
    </xf>
    <xf numFmtId="0" fontId="77" fillId="8" borderId="21" xfId="0" applyFont="1" applyFill="1" applyBorder="1" applyAlignment="1" applyProtection="1">
      <alignment vertical="center" wrapText="1"/>
      <protection locked="0"/>
    </xf>
    <xf numFmtId="0" fontId="78" fillId="16" borderId="10" xfId="0" applyFont="1" applyFill="1" applyBorder="1" applyAlignment="1">
      <alignment horizontal="left" vertical="center" wrapText="1"/>
    </xf>
    <xf numFmtId="0" fontId="78" fillId="8" borderId="2" xfId="0" applyFont="1" applyFill="1" applyBorder="1" applyAlignment="1">
      <alignment horizontal="center" vertical="center" wrapText="1"/>
    </xf>
    <xf numFmtId="0" fontId="77" fillId="8" borderId="21" xfId="0" applyFont="1" applyFill="1" applyBorder="1" applyAlignment="1">
      <alignment vertical="center" wrapText="1"/>
    </xf>
    <xf numFmtId="0" fontId="77" fillId="3" borderId="21" xfId="0" applyFont="1" applyFill="1" applyBorder="1" applyAlignment="1">
      <alignment vertical="center" wrapText="1"/>
    </xf>
    <xf numFmtId="0" fontId="78" fillId="3" borderId="10" xfId="0" applyFont="1" applyFill="1" applyBorder="1" applyAlignment="1">
      <alignment horizontal="left" vertical="center" wrapText="1"/>
    </xf>
    <xf numFmtId="41" fontId="87" fillId="3" borderId="10" xfId="1" applyFont="1" applyFill="1" applyBorder="1" applyAlignment="1">
      <alignment horizontal="center" vertical="center" wrapText="1"/>
    </xf>
    <xf numFmtId="0" fontId="78" fillId="3" borderId="22" xfId="0" applyFont="1" applyFill="1" applyBorder="1" applyAlignment="1" applyProtection="1">
      <alignment horizontal="left" vertical="center" wrapText="1"/>
      <protection locked="0"/>
    </xf>
    <xf numFmtId="41" fontId="87" fillId="3" borderId="22" xfId="1" applyFont="1" applyFill="1" applyBorder="1" applyAlignment="1">
      <alignment horizontal="center" vertical="center" wrapText="1"/>
    </xf>
    <xf numFmtId="41" fontId="87" fillId="3" borderId="0" xfId="1" applyFont="1" applyFill="1" applyBorder="1" applyAlignment="1">
      <alignment horizontal="center" vertical="center" wrapText="1"/>
    </xf>
    <xf numFmtId="0" fontId="78" fillId="3" borderId="2" xfId="0" applyFont="1" applyFill="1" applyBorder="1" applyAlignment="1">
      <alignment horizontal="left" vertical="center" wrapText="1"/>
    </xf>
    <xf numFmtId="0" fontId="36" fillId="16" borderId="10" xfId="0" applyFont="1" applyFill="1" applyBorder="1" applyAlignment="1">
      <alignment horizontal="left" vertical="center" wrapText="1"/>
    </xf>
    <xf numFmtId="41" fontId="37" fillId="16" borderId="10" xfId="1" applyFont="1" applyFill="1" applyBorder="1" applyAlignment="1">
      <alignment horizontal="right" vertical="center" wrapText="1"/>
    </xf>
    <xf numFmtId="0" fontId="15" fillId="16" borderId="10" xfId="0" applyFont="1" applyFill="1" applyBorder="1" applyAlignment="1">
      <alignment horizontal="left" vertical="center" wrapText="1"/>
    </xf>
    <xf numFmtId="41" fontId="87" fillId="16" borderId="0" xfId="1" applyFont="1" applyFill="1" applyBorder="1" applyAlignment="1">
      <alignment horizontal="center" vertical="center" wrapText="1"/>
    </xf>
    <xf numFmtId="0" fontId="0" fillId="16" borderId="0" xfId="0" applyFill="1" applyAlignment="1">
      <alignment vertical="center"/>
    </xf>
    <xf numFmtId="41" fontId="86" fillId="0" borderId="0" xfId="1" applyFont="1" applyAlignment="1">
      <alignment horizontal="center" vertical="center"/>
    </xf>
    <xf numFmtId="0" fontId="52" fillId="21" borderId="10" xfId="6" applyFont="1" applyFill="1" applyBorder="1" applyAlignment="1">
      <alignment horizontal="center" vertical="center" wrapText="1"/>
    </xf>
    <xf numFmtId="0" fontId="91" fillId="0" borderId="10" xfId="6" applyFont="1" applyBorder="1" applyAlignment="1">
      <alignment horizontal="center" vertical="center" wrapText="1"/>
    </xf>
    <xf numFmtId="0" fontId="52" fillId="19" borderId="10" xfId="6" applyFont="1" applyFill="1" applyBorder="1" applyAlignment="1">
      <alignment horizontal="center" vertical="center" wrapText="1"/>
    </xf>
    <xf numFmtId="0" fontId="52" fillId="20" borderId="10" xfId="6" applyFont="1" applyFill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/>
    </xf>
    <xf numFmtId="0" fontId="16" fillId="0" borderId="11" xfId="6" applyFont="1" applyBorder="1" applyAlignment="1">
      <alignment horizontal="center" vertical="center" wrapText="1"/>
    </xf>
    <xf numFmtId="0" fontId="16" fillId="0" borderId="33" xfId="6" applyFont="1" applyBorder="1" applyAlignment="1">
      <alignment horizontal="center" vertical="center" wrapText="1"/>
    </xf>
    <xf numFmtId="0" fontId="16" fillId="0" borderId="16" xfId="6" applyFont="1" applyBorder="1" applyAlignment="1">
      <alignment horizontal="center" vertical="center" wrapText="1"/>
    </xf>
    <xf numFmtId="0" fontId="90" fillId="0" borderId="0" xfId="6">
      <alignment vertical="center"/>
    </xf>
    <xf numFmtId="0" fontId="93" fillId="25" borderId="40" xfId="6" applyFont="1" applyFill="1" applyBorder="1" applyAlignment="1">
      <alignment horizontal="center" vertical="center" wrapText="1"/>
    </xf>
    <xf numFmtId="0" fontId="93" fillId="26" borderId="40" xfId="6" applyFont="1" applyFill="1" applyBorder="1" applyAlignment="1">
      <alignment horizontal="center" vertical="center" wrapText="1"/>
    </xf>
    <xf numFmtId="0" fontId="93" fillId="27" borderId="40" xfId="6" applyFont="1" applyFill="1" applyBorder="1" applyAlignment="1">
      <alignment horizontal="center" vertical="center" wrapText="1"/>
    </xf>
    <xf numFmtId="0" fontId="93" fillId="28" borderId="40" xfId="6" applyFont="1" applyFill="1" applyBorder="1" applyAlignment="1">
      <alignment horizontal="center" vertical="center" wrapText="1"/>
    </xf>
    <xf numFmtId="0" fontId="94" fillId="28" borderId="37" xfId="6" applyFont="1" applyFill="1" applyBorder="1" applyAlignment="1">
      <alignment horizontal="center" vertical="center" wrapText="1"/>
    </xf>
    <xf numFmtId="0" fontId="93" fillId="28" borderId="41" xfId="6" applyFont="1" applyFill="1" applyBorder="1" applyAlignment="1">
      <alignment horizontal="center" vertical="center" wrapText="1"/>
    </xf>
    <xf numFmtId="0" fontId="95" fillId="29" borderId="10" xfId="6" applyFont="1" applyFill="1" applyBorder="1" applyAlignment="1">
      <alignment horizontal="center" vertical="center" wrapText="1"/>
    </xf>
    <xf numFmtId="0" fontId="94" fillId="9" borderId="37" xfId="6" applyFont="1" applyFill="1" applyBorder="1" applyAlignment="1">
      <alignment horizontal="center" vertical="center" wrapText="1"/>
    </xf>
    <xf numFmtId="0" fontId="95" fillId="29" borderId="16" xfId="6" applyFont="1" applyFill="1" applyBorder="1" applyAlignment="1">
      <alignment horizontal="center" vertical="center" wrapText="1"/>
    </xf>
    <xf numFmtId="0" fontId="96" fillId="30" borderId="16" xfId="6" applyFont="1" applyFill="1" applyBorder="1" applyAlignment="1">
      <alignment horizontal="center" vertical="center" wrapText="1"/>
    </xf>
    <xf numFmtId="0" fontId="97" fillId="31" borderId="42" xfId="6" applyFont="1" applyFill="1" applyBorder="1" applyAlignment="1">
      <alignment horizontal="center" vertical="center" wrapText="1"/>
    </xf>
    <xf numFmtId="0" fontId="23" fillId="31" borderId="42" xfId="6" applyFont="1" applyFill="1" applyBorder="1" applyAlignment="1">
      <alignment vertical="center" wrapText="1"/>
    </xf>
    <xf numFmtId="0" fontId="23" fillId="32" borderId="42" xfId="6" applyFont="1" applyFill="1" applyBorder="1" applyAlignment="1">
      <alignment horizontal="center" vertical="center" wrapText="1"/>
    </xf>
    <xf numFmtId="0" fontId="23" fillId="32" borderId="42" xfId="6" applyFont="1" applyFill="1" applyBorder="1" applyAlignment="1">
      <alignment vertical="center" wrapText="1"/>
    </xf>
    <xf numFmtId="0" fontId="23" fillId="33" borderId="42" xfId="6" applyFont="1" applyFill="1" applyBorder="1" applyAlignment="1">
      <alignment horizontal="center" vertical="center" wrapText="1"/>
    </xf>
    <xf numFmtId="0" fontId="23" fillId="33" borderId="42" xfId="6" applyFont="1" applyFill="1" applyBorder="1" applyAlignment="1">
      <alignment vertical="center" wrapText="1"/>
    </xf>
    <xf numFmtId="0" fontId="23" fillId="34" borderId="42" xfId="6" applyFont="1" applyFill="1" applyBorder="1" applyAlignment="1">
      <alignment horizontal="center" vertical="center" wrapText="1"/>
    </xf>
    <xf numFmtId="0" fontId="23" fillId="34" borderId="42" xfId="6" applyFont="1" applyFill="1" applyBorder="1" applyAlignment="1">
      <alignment vertical="center" wrapText="1"/>
    </xf>
    <xf numFmtId="3" fontId="23" fillId="34" borderId="43" xfId="6" applyNumberFormat="1" applyFont="1" applyFill="1" applyBorder="1" applyAlignment="1">
      <alignment vertical="center" wrapText="1"/>
    </xf>
    <xf numFmtId="0" fontId="23" fillId="34" borderId="10" xfId="6" applyFont="1" applyFill="1" applyBorder="1" applyAlignment="1">
      <alignment vertical="center" wrapText="1"/>
    </xf>
    <xf numFmtId="0" fontId="98" fillId="35" borderId="10" xfId="6" applyFont="1" applyFill="1" applyBorder="1" applyAlignment="1">
      <alignment vertical="center" wrapText="1"/>
    </xf>
    <xf numFmtId="0" fontId="23" fillId="34" borderId="10" xfId="6" applyFont="1" applyFill="1" applyBorder="1" applyAlignment="1">
      <alignment horizontal="center" vertical="center" wrapText="1"/>
    </xf>
    <xf numFmtId="0" fontId="23" fillId="34" borderId="44" xfId="6" applyFont="1" applyFill="1" applyBorder="1" applyAlignment="1">
      <alignment vertical="center" wrapText="1"/>
    </xf>
    <xf numFmtId="3" fontId="23" fillId="34" borderId="15" xfId="6" applyNumberFormat="1" applyFont="1" applyFill="1" applyBorder="1" applyAlignment="1">
      <alignment vertical="center" wrapText="1"/>
    </xf>
    <xf numFmtId="0" fontId="23" fillId="34" borderId="36" xfId="6" applyFont="1" applyFill="1" applyBorder="1" applyAlignment="1">
      <alignment vertical="center" wrapText="1"/>
    </xf>
    <xf numFmtId="0" fontId="28" fillId="34" borderId="36" xfId="6" applyFont="1" applyFill="1" applyBorder="1" applyAlignment="1">
      <alignment vertical="center" wrapText="1"/>
    </xf>
    <xf numFmtId="0" fontId="23" fillId="34" borderId="36" xfId="6" applyFont="1" applyFill="1" applyBorder="1" applyAlignment="1">
      <alignment horizontal="center" vertical="center" wrapText="1"/>
    </xf>
    <xf numFmtId="3" fontId="14" fillId="36" borderId="36" xfId="6" applyNumberFormat="1" applyFont="1" applyFill="1" applyBorder="1" applyAlignment="1">
      <alignment vertical="center" wrapText="1"/>
    </xf>
    <xf numFmtId="0" fontId="29" fillId="34" borderId="45" xfId="6" applyFont="1" applyFill="1" applyBorder="1" applyAlignment="1">
      <alignment vertical="center" wrapText="1"/>
    </xf>
    <xf numFmtId="3" fontId="29" fillId="34" borderId="15" xfId="6" applyNumberFormat="1" applyFont="1" applyFill="1" applyBorder="1" applyAlignment="1">
      <alignment vertical="center" wrapText="1"/>
    </xf>
    <xf numFmtId="0" fontId="29" fillId="34" borderId="36" xfId="6" applyFont="1" applyFill="1" applyBorder="1" applyAlignment="1">
      <alignment vertical="center" wrapText="1"/>
    </xf>
    <xf numFmtId="0" fontId="99" fillId="34" borderId="36" xfId="6" applyFont="1" applyFill="1" applyBorder="1" applyAlignment="1">
      <alignment horizontal="center" vertical="center" wrapText="1"/>
    </xf>
    <xf numFmtId="0" fontId="23" fillId="36" borderId="42" xfId="6" applyFont="1" applyFill="1" applyBorder="1" applyAlignment="1">
      <alignment vertical="center" wrapText="1"/>
    </xf>
    <xf numFmtId="0" fontId="23" fillId="36" borderId="46" xfId="6" applyFont="1" applyFill="1" applyBorder="1" applyAlignment="1">
      <alignment horizontal="center" vertical="center" wrapText="1"/>
    </xf>
    <xf numFmtId="0" fontId="23" fillId="36" borderId="46" xfId="6" applyFont="1" applyFill="1" applyBorder="1" applyAlignment="1">
      <alignment vertical="center" wrapText="1"/>
    </xf>
    <xf numFmtId="3" fontId="23" fillId="36" borderId="47" xfId="6" applyNumberFormat="1" applyFont="1" applyFill="1" applyBorder="1" applyAlignment="1">
      <alignment vertical="center" wrapText="1"/>
    </xf>
    <xf numFmtId="0" fontId="23" fillId="3" borderId="10" xfId="6" applyFont="1" applyFill="1" applyBorder="1" applyAlignment="1">
      <alignment vertical="center" wrapText="1"/>
    </xf>
    <xf numFmtId="0" fontId="98" fillId="3" borderId="10" xfId="6" applyFont="1" applyFill="1" applyBorder="1" applyAlignment="1">
      <alignment vertical="center" wrapText="1"/>
    </xf>
    <xf numFmtId="0" fontId="23" fillId="36" borderId="10" xfId="6" applyFont="1" applyFill="1" applyBorder="1" applyAlignment="1">
      <alignment horizontal="center" vertical="center" wrapText="1"/>
    </xf>
    <xf numFmtId="0" fontId="23" fillId="36" borderId="45" xfId="6" applyFont="1" applyFill="1" applyBorder="1" applyAlignment="1">
      <alignment vertical="center" wrapText="1"/>
    </xf>
    <xf numFmtId="0" fontId="23" fillId="36" borderId="15" xfId="6" applyFont="1" applyFill="1" applyBorder="1" applyAlignment="1">
      <alignment vertical="center" wrapText="1"/>
    </xf>
    <xf numFmtId="0" fontId="23" fillId="3" borderId="36" xfId="6" applyFont="1" applyFill="1" applyBorder="1" applyAlignment="1">
      <alignment vertical="center" wrapText="1"/>
    </xf>
    <xf numFmtId="0" fontId="28" fillId="3" borderId="36" xfId="6" applyFont="1" applyFill="1" applyBorder="1" applyAlignment="1">
      <alignment vertical="center" wrapText="1"/>
    </xf>
    <xf numFmtId="0" fontId="98" fillId="36" borderId="36" xfId="6" applyFont="1" applyFill="1" applyBorder="1" applyAlignment="1">
      <alignment horizontal="center" vertical="center" wrapText="1"/>
    </xf>
    <xf numFmtId="0" fontId="23" fillId="36" borderId="42" xfId="6" applyFont="1" applyFill="1" applyBorder="1" applyAlignment="1">
      <alignment horizontal="center" vertical="center" wrapText="1"/>
    </xf>
    <xf numFmtId="0" fontId="23" fillId="34" borderId="46" xfId="6" applyFont="1" applyFill="1" applyBorder="1" applyAlignment="1">
      <alignment horizontal="center" vertical="center" wrapText="1"/>
    </xf>
    <xf numFmtId="0" fontId="29" fillId="34" borderId="46" xfId="6" applyFont="1" applyFill="1" applyBorder="1" applyAlignment="1">
      <alignment vertical="center" wrapText="1"/>
    </xf>
    <xf numFmtId="0" fontId="23" fillId="34" borderId="47" xfId="6" applyFont="1" applyFill="1" applyBorder="1" applyAlignment="1">
      <alignment vertical="center" wrapText="1"/>
    </xf>
    <xf numFmtId="0" fontId="23" fillId="34" borderId="45" xfId="6" applyFont="1" applyFill="1" applyBorder="1" applyAlignment="1">
      <alignment vertical="center" wrapText="1"/>
    </xf>
    <xf numFmtId="0" fontId="23" fillId="34" borderId="15" xfId="6" applyFont="1" applyFill="1" applyBorder="1" applyAlignment="1">
      <alignment vertical="center" wrapText="1"/>
    </xf>
    <xf numFmtId="0" fontId="98" fillId="34" borderId="36" xfId="6" applyFont="1" applyFill="1" applyBorder="1" applyAlignment="1">
      <alignment horizontal="center" vertical="center" wrapText="1"/>
    </xf>
    <xf numFmtId="0" fontId="14" fillId="36" borderId="36" xfId="6" applyFont="1" applyFill="1" applyBorder="1" applyAlignment="1">
      <alignment vertical="center" wrapText="1"/>
    </xf>
    <xf numFmtId="0" fontId="29" fillId="36" borderId="46" xfId="6" applyFont="1" applyFill="1" applyBorder="1" applyAlignment="1">
      <alignment vertical="center" wrapText="1"/>
    </xf>
    <xf numFmtId="0" fontId="23" fillId="36" borderId="47" xfId="6" applyFont="1" applyFill="1" applyBorder="1" applyAlignment="1">
      <alignment vertical="center" wrapText="1"/>
    </xf>
    <xf numFmtId="0" fontId="23" fillId="36" borderId="10" xfId="6" applyFont="1" applyFill="1" applyBorder="1" applyAlignment="1">
      <alignment vertical="center" wrapText="1"/>
    </xf>
    <xf numFmtId="0" fontId="23" fillId="36" borderId="36" xfId="6" applyFont="1" applyFill="1" applyBorder="1" applyAlignment="1">
      <alignment vertical="center" wrapText="1"/>
    </xf>
    <xf numFmtId="0" fontId="97" fillId="36" borderId="42" xfId="6" applyFont="1" applyFill="1" applyBorder="1" applyAlignment="1">
      <alignment horizontal="center" vertical="center" wrapText="1"/>
    </xf>
    <xf numFmtId="0" fontId="23" fillId="33" borderId="46" xfId="6" applyFont="1" applyFill="1" applyBorder="1" applyAlignment="1">
      <alignment vertical="center" wrapText="1"/>
    </xf>
    <xf numFmtId="0" fontId="23" fillId="34" borderId="48" xfId="6" applyFont="1" applyFill="1" applyBorder="1" applyAlignment="1">
      <alignment vertical="center" wrapText="1"/>
    </xf>
    <xf numFmtId="3" fontId="23" fillId="34" borderId="47" xfId="6" applyNumberFormat="1" applyFont="1" applyFill="1" applyBorder="1" applyAlignment="1">
      <alignment vertical="center" wrapText="1"/>
    </xf>
    <xf numFmtId="0" fontId="23" fillId="36" borderId="48" xfId="6" applyFont="1" applyFill="1" applyBorder="1" applyAlignment="1">
      <alignment vertical="center" wrapText="1"/>
    </xf>
    <xf numFmtId="3" fontId="100" fillId="36" borderId="36" xfId="6" applyNumberFormat="1" applyFont="1" applyFill="1" applyBorder="1" applyAlignment="1">
      <alignment vertical="center" wrapText="1"/>
    </xf>
    <xf numFmtId="0" fontId="23" fillId="32" borderId="48" xfId="6" applyFont="1" applyFill="1" applyBorder="1" applyAlignment="1">
      <alignment horizontal="center" vertical="center" wrapText="1"/>
    </xf>
    <xf numFmtId="0" fontId="23" fillId="33" borderId="48" xfId="6" applyFont="1" applyFill="1" applyBorder="1" applyAlignment="1">
      <alignment vertical="center" wrapText="1"/>
    </xf>
    <xf numFmtId="0" fontId="23" fillId="36" borderId="48" xfId="6" applyFont="1" applyFill="1" applyBorder="1" applyAlignment="1">
      <alignment horizontal="center" vertical="center" wrapText="1"/>
    </xf>
    <xf numFmtId="0" fontId="28" fillId="34" borderId="49" xfId="6" applyFont="1" applyFill="1" applyBorder="1" applyAlignment="1">
      <alignment vertical="center" wrapText="1"/>
    </xf>
    <xf numFmtId="3" fontId="28" fillId="34" borderId="15" xfId="6" applyNumberFormat="1" applyFont="1" applyFill="1" applyBorder="1" applyAlignment="1">
      <alignment vertical="center" wrapText="1"/>
    </xf>
    <xf numFmtId="0" fontId="28" fillId="34" borderId="14" xfId="6" applyFont="1" applyFill="1" applyBorder="1" applyAlignment="1">
      <alignment vertical="center" wrapText="1"/>
    </xf>
    <xf numFmtId="0" fontId="28" fillId="34" borderId="15" xfId="6" applyFont="1" applyFill="1" applyBorder="1" applyAlignment="1">
      <alignment vertical="center" wrapText="1"/>
    </xf>
    <xf numFmtId="0" fontId="23" fillId="32" borderId="48" xfId="6" applyFont="1" applyFill="1" applyBorder="1" applyAlignment="1">
      <alignment vertical="center" wrapText="1"/>
    </xf>
    <xf numFmtId="0" fontId="23" fillId="36" borderId="50" xfId="6" applyFont="1" applyFill="1" applyBorder="1" applyAlignment="1">
      <alignment vertical="center" wrapText="1"/>
    </xf>
    <xf numFmtId="3" fontId="23" fillId="36" borderId="15" xfId="6" applyNumberFormat="1" applyFont="1" applyFill="1" applyBorder="1" applyAlignment="1">
      <alignment vertical="center" wrapText="1"/>
    </xf>
    <xf numFmtId="0" fontId="23" fillId="36" borderId="36" xfId="6" applyFont="1" applyFill="1" applyBorder="1" applyAlignment="1">
      <alignment horizontal="center" vertical="center" wrapText="1"/>
    </xf>
    <xf numFmtId="0" fontId="28" fillId="34" borderId="48" xfId="6" applyFont="1" applyFill="1" applyBorder="1" applyAlignment="1">
      <alignment vertical="center" wrapText="1"/>
    </xf>
    <xf numFmtId="0" fontId="23" fillId="36" borderId="51" xfId="6" applyFont="1" applyFill="1" applyBorder="1" applyAlignment="1">
      <alignment vertical="center" wrapText="1"/>
    </xf>
    <xf numFmtId="3" fontId="23" fillId="36" borderId="12" xfId="6" applyNumberFormat="1" applyFont="1" applyFill="1" applyBorder="1" applyAlignment="1">
      <alignment vertical="center" wrapText="1"/>
    </xf>
    <xf numFmtId="0" fontId="23" fillId="36" borderId="12" xfId="6" applyFont="1" applyFill="1" applyBorder="1" applyAlignment="1">
      <alignment horizontal="center" vertical="center" wrapText="1"/>
    </xf>
    <xf numFmtId="0" fontId="97" fillId="36" borderId="48" xfId="6" applyFont="1" applyFill="1" applyBorder="1" applyAlignment="1">
      <alignment horizontal="center" vertical="center" wrapText="1"/>
    </xf>
    <xf numFmtId="0" fontId="101" fillId="36" borderId="48" xfId="6" applyFont="1" applyFill="1" applyBorder="1" applyAlignment="1">
      <alignment vertical="center" wrapText="1"/>
    </xf>
    <xf numFmtId="3" fontId="101" fillId="36" borderId="47" xfId="6" applyNumberFormat="1" applyFont="1" applyFill="1" applyBorder="1" applyAlignment="1">
      <alignment vertical="center" wrapText="1"/>
    </xf>
    <xf numFmtId="0" fontId="23" fillId="36" borderId="38" xfId="6" applyFont="1" applyFill="1" applyBorder="1" applyAlignment="1">
      <alignment horizontal="center" vertical="center" wrapText="1"/>
    </xf>
    <xf numFmtId="0" fontId="102" fillId="36" borderId="10" xfId="6" applyFont="1" applyFill="1" applyBorder="1">
      <alignment vertical="center"/>
    </xf>
    <xf numFmtId="3" fontId="102" fillId="36" borderId="16" xfId="6" applyNumberFormat="1" applyFont="1" applyFill="1" applyBorder="1">
      <alignment vertical="center"/>
    </xf>
    <xf numFmtId="0" fontId="14" fillId="36" borderId="16" xfId="6" applyFont="1" applyFill="1" applyBorder="1" applyAlignment="1">
      <alignment horizontal="center" vertical="center"/>
    </xf>
    <xf numFmtId="3" fontId="103" fillId="36" borderId="16" xfId="6" applyNumberFormat="1" applyFont="1" applyFill="1" applyBorder="1">
      <alignment vertical="center"/>
    </xf>
    <xf numFmtId="0" fontId="90" fillId="0" borderId="0" xfId="6" applyAlignment="1">
      <alignment horizontal="center" vertical="center"/>
    </xf>
    <xf numFmtId="0" fontId="41" fillId="12" borderId="19" xfId="2" applyFont="1" applyFill="1" applyBorder="1" applyAlignment="1">
      <alignment horizontal="left" vertical="center" wrapText="1"/>
    </xf>
    <xf numFmtId="41" fontId="41" fillId="12" borderId="19" xfId="3" applyFont="1" applyFill="1" applyBorder="1" applyAlignment="1">
      <alignment horizontal="center" vertical="center" wrapText="1"/>
    </xf>
    <xf numFmtId="0" fontId="90" fillId="0" borderId="0" xfId="6" applyAlignment="1">
      <alignment horizontal="right" vertical="center"/>
    </xf>
    <xf numFmtId="0" fontId="90" fillId="0" borderId="0" xfId="6" applyAlignment="1">
      <alignment horizontal="left" vertical="center"/>
    </xf>
    <xf numFmtId="41" fontId="90" fillId="0" borderId="0" xfId="6" applyNumberFormat="1" applyAlignment="1">
      <alignment horizontal="center" vertical="center"/>
    </xf>
    <xf numFmtId="41" fontId="104" fillId="0" borderId="0" xfId="6" applyNumberFormat="1" applyFont="1" applyAlignment="1">
      <alignment horizontal="center" vertical="center"/>
    </xf>
    <xf numFmtId="0" fontId="104" fillId="0" borderId="0" xfId="6" applyFont="1" applyAlignment="1">
      <alignment horizontal="left" vertical="center"/>
    </xf>
    <xf numFmtId="3" fontId="90" fillId="0" borderId="0" xfId="6" applyNumberFormat="1">
      <alignment vertical="center"/>
    </xf>
    <xf numFmtId="0" fontId="105" fillId="0" borderId="0" xfId="6" applyFont="1" applyAlignment="1">
      <alignment horizontal="left" vertical="center"/>
    </xf>
    <xf numFmtId="41" fontId="105" fillId="0" borderId="0" xfId="6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6" fillId="0" borderId="18" xfId="0" applyFont="1" applyBorder="1" applyAlignment="1">
      <alignment horizontal="center" vertical="center" wrapText="1"/>
    </xf>
    <xf numFmtId="0" fontId="106" fillId="0" borderId="18" xfId="0" applyFont="1" applyBorder="1" applyAlignment="1">
      <alignment horizontal="center" vertical="center"/>
    </xf>
    <xf numFmtId="0" fontId="106" fillId="0" borderId="36" xfId="0" applyFont="1" applyBorder="1" applyAlignment="1">
      <alignment horizontal="center" vertical="center"/>
    </xf>
    <xf numFmtId="0" fontId="109" fillId="8" borderId="4" xfId="0" applyFont="1" applyFill="1" applyBorder="1" applyAlignment="1" applyProtection="1">
      <alignment vertical="center" wrapText="1"/>
      <protection locked="0"/>
    </xf>
    <xf numFmtId="41" fontId="8" fillId="3" borderId="3" xfId="0" quotePrefix="1" applyNumberFormat="1" applyFont="1" applyFill="1" applyBorder="1" applyAlignment="1">
      <alignment horizontal="center" vertical="center" wrapText="1"/>
    </xf>
    <xf numFmtId="0" fontId="8" fillId="3" borderId="3" xfId="0" quotePrefix="1" applyFont="1" applyFill="1" applyBorder="1" applyAlignment="1">
      <alignment horizontal="center" vertical="center" wrapText="1"/>
    </xf>
    <xf numFmtId="0" fontId="110" fillId="3" borderId="0" xfId="0" applyFont="1" applyFill="1" applyAlignment="1">
      <alignment horizontal="left" vertical="center" wrapText="1"/>
    </xf>
    <xf numFmtId="0" fontId="17" fillId="0" borderId="10" xfId="0" applyFont="1" applyBorder="1" applyAlignment="1" applyProtection="1">
      <alignment horizontal="left" vertical="center" wrapText="1"/>
      <protection locked="0"/>
    </xf>
    <xf numFmtId="41" fontId="111" fillId="0" borderId="10" xfId="1" applyFont="1" applyBorder="1" applyAlignment="1">
      <alignment horizontal="center" vertical="center" wrapText="1"/>
    </xf>
    <xf numFmtId="0" fontId="109" fillId="3" borderId="2" xfId="0" applyFont="1" applyFill="1" applyBorder="1" applyAlignment="1">
      <alignment vertical="center" wrapText="1"/>
    </xf>
    <xf numFmtId="41" fontId="8" fillId="0" borderId="3" xfId="0" quotePrefix="1" applyNumberFormat="1" applyFont="1" applyBorder="1" applyAlignment="1">
      <alignment horizontal="center" vertical="center" wrapText="1"/>
    </xf>
    <xf numFmtId="0" fontId="8" fillId="3" borderId="9" xfId="0" quotePrefix="1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12" fillId="3" borderId="10" xfId="0" applyFont="1" applyFill="1" applyBorder="1" applyAlignment="1" applyProtection="1">
      <alignment horizontal="left" vertical="center" wrapText="1"/>
      <protection locked="0"/>
    </xf>
    <xf numFmtId="41" fontId="84" fillId="3" borderId="10" xfId="0" applyNumberFormat="1" applyFont="1" applyFill="1" applyBorder="1" applyAlignment="1">
      <alignment horizontal="center" vertical="center"/>
    </xf>
    <xf numFmtId="41" fontId="113" fillId="3" borderId="10" xfId="1" applyFont="1" applyFill="1" applyBorder="1" applyAlignment="1">
      <alignment horizontal="center" vertical="center" wrapText="1"/>
    </xf>
    <xf numFmtId="0" fontId="84" fillId="0" borderId="10" xfId="0" applyFont="1" applyBorder="1" applyAlignment="1">
      <alignment horizontal="center" vertical="center"/>
    </xf>
    <xf numFmtId="41" fontId="114" fillId="0" borderId="10" xfId="1" applyFont="1" applyFill="1" applyBorder="1" applyAlignment="1">
      <alignment horizontal="center" vertical="center" wrapText="1"/>
    </xf>
    <xf numFmtId="41" fontId="113" fillId="0" borderId="10" xfId="1" applyFont="1" applyFill="1" applyBorder="1" applyAlignment="1">
      <alignment horizontal="center" vertical="center" wrapText="1"/>
    </xf>
    <xf numFmtId="0" fontId="109" fillId="8" borderId="2" xfId="0" applyFont="1" applyFill="1" applyBorder="1" applyAlignment="1">
      <alignment vertical="center" wrapText="1"/>
    </xf>
    <xf numFmtId="0" fontId="111" fillId="0" borderId="10" xfId="0" applyFont="1" applyBorder="1" applyAlignment="1">
      <alignment horizontal="center" vertical="center"/>
    </xf>
    <xf numFmtId="0" fontId="112" fillId="3" borderId="10" xfId="0" applyFont="1" applyFill="1" applyBorder="1" applyAlignment="1">
      <alignment horizontal="left" vertical="center" wrapText="1"/>
    </xf>
    <xf numFmtId="41" fontId="113" fillId="3" borderId="10" xfId="1" quotePrefix="1" applyFont="1" applyFill="1" applyBorder="1" applyAlignment="1">
      <alignment horizontal="center" vertical="center" wrapText="1"/>
    </xf>
    <xf numFmtId="41" fontId="115" fillId="0" borderId="10" xfId="1" applyFont="1" applyFill="1" applyBorder="1" applyAlignment="1">
      <alignment horizontal="center" vertical="center" wrapText="1"/>
    </xf>
    <xf numFmtId="0" fontId="116" fillId="0" borderId="10" xfId="0" applyFont="1" applyBorder="1" applyAlignment="1">
      <alignment horizontal="center" vertical="center" wrapText="1"/>
    </xf>
    <xf numFmtId="41" fontId="8" fillId="0" borderId="2" xfId="1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12" fillId="0" borderId="10" xfId="0" applyFont="1" applyBorder="1" applyAlignment="1">
      <alignment horizontal="left" vertical="center" wrapText="1"/>
    </xf>
    <xf numFmtId="41" fontId="84" fillId="0" borderId="10" xfId="0" applyNumberFormat="1" applyFont="1" applyBorder="1" applyAlignment="1">
      <alignment horizontal="center" vertical="center"/>
    </xf>
    <xf numFmtId="41" fontId="113" fillId="0" borderId="10" xfId="1" quotePrefix="1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vertical="center" wrapText="1"/>
    </xf>
    <xf numFmtId="41" fontId="117" fillId="3" borderId="9" xfId="0" applyNumberFormat="1" applyFont="1" applyFill="1" applyBorder="1" applyAlignment="1">
      <alignment horizontal="center" vertical="center" wrapText="1"/>
    </xf>
    <xf numFmtId="0" fontId="110" fillId="0" borderId="0" xfId="0" applyFont="1" applyAlignment="1">
      <alignment horizontal="center" vertical="center"/>
    </xf>
    <xf numFmtId="0" fontId="118" fillId="0" borderId="10" xfId="0" applyFont="1" applyBorder="1" applyAlignment="1">
      <alignment horizontal="center" vertical="center"/>
    </xf>
    <xf numFmtId="41" fontId="46" fillId="37" borderId="10" xfId="0" applyNumberFormat="1" applyFont="1" applyFill="1" applyBorder="1" applyAlignment="1">
      <alignment horizontal="center" vertical="center"/>
    </xf>
    <xf numFmtId="41" fontId="46" fillId="8" borderId="10" xfId="0" applyNumberFormat="1" applyFont="1" applyFill="1" applyBorder="1" applyAlignment="1">
      <alignment horizontal="center" vertical="center"/>
    </xf>
    <xf numFmtId="0" fontId="104" fillId="0" borderId="10" xfId="0" applyFont="1" applyBorder="1" applyAlignment="1">
      <alignment horizontal="left" vertical="center"/>
    </xf>
    <xf numFmtId="41" fontId="119" fillId="3" borderId="10" xfId="0" applyNumberFormat="1" applyFont="1" applyFill="1" applyBorder="1" applyAlignment="1">
      <alignment horizontal="center" vertical="center"/>
    </xf>
    <xf numFmtId="41" fontId="105" fillId="0" borderId="0" xfId="0" applyNumberFormat="1" applyFont="1" applyAlignment="1">
      <alignment horizontal="center" vertical="center"/>
    </xf>
    <xf numFmtId="0" fontId="46" fillId="0" borderId="10" xfId="0" applyFont="1" applyBorder="1" applyAlignment="1">
      <alignment horizontal="left" vertical="center"/>
    </xf>
    <xf numFmtId="41" fontId="0" fillId="37" borderId="10" xfId="0" applyNumberFormat="1" applyFill="1" applyBorder="1" applyAlignment="1">
      <alignment horizontal="center" vertical="center"/>
    </xf>
    <xf numFmtId="41" fontId="0" fillId="8" borderId="10" xfId="0" quotePrefix="1" applyNumberFormat="1" applyFill="1" applyBorder="1" applyAlignment="1">
      <alignment horizontal="center" vertical="center"/>
    </xf>
    <xf numFmtId="41" fontId="46" fillId="3" borderId="10" xfId="0" applyNumberFormat="1" applyFont="1" applyFill="1" applyBorder="1" applyAlignment="1">
      <alignment horizontal="center" vertical="center"/>
    </xf>
    <xf numFmtId="41" fontId="120" fillId="3" borderId="10" xfId="0" applyNumberFormat="1" applyFont="1" applyFill="1" applyBorder="1" applyAlignment="1">
      <alignment horizontal="center" vertical="center"/>
    </xf>
    <xf numFmtId="41" fontId="121" fillId="3" borderId="10" xfId="0" applyNumberFormat="1" applyFont="1" applyFill="1" applyBorder="1" applyAlignment="1">
      <alignment horizontal="center" vertical="center"/>
    </xf>
    <xf numFmtId="0" fontId="101" fillId="0" borderId="52" xfId="0" applyFont="1" applyBorder="1" applyAlignment="1">
      <alignment horizontal="center" vertical="center" wrapText="1"/>
    </xf>
    <xf numFmtId="3" fontId="101" fillId="0" borderId="52" xfId="0" applyNumberFormat="1" applyFont="1" applyBorder="1" applyAlignment="1">
      <alignment horizontal="right" vertical="center" wrapText="1"/>
    </xf>
    <xf numFmtId="0" fontId="90" fillId="0" borderId="10" xfId="6" applyBorder="1" applyAlignment="1">
      <alignment horizontal="center" vertical="center"/>
    </xf>
    <xf numFmtId="0" fontId="16" fillId="0" borderId="10" xfId="6" applyFont="1" applyBorder="1" applyAlignment="1">
      <alignment horizontal="center" vertical="center" wrapText="1"/>
    </xf>
    <xf numFmtId="0" fontId="16" fillId="0" borderId="10" xfId="6" applyFont="1" applyBorder="1" applyAlignment="1">
      <alignment horizontal="center" vertical="center"/>
    </xf>
    <xf numFmtId="0" fontId="66" fillId="4" borderId="10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66" fillId="2" borderId="10" xfId="6" applyFont="1" applyFill="1" applyBorder="1" applyAlignment="1">
      <alignment horizontal="center" vertical="center" wrapText="1"/>
    </xf>
    <xf numFmtId="0" fontId="66" fillId="5" borderId="10" xfId="6" applyFont="1" applyFill="1" applyBorder="1" applyAlignment="1">
      <alignment horizontal="center" vertical="center" wrapText="1"/>
    </xf>
    <xf numFmtId="0" fontId="66" fillId="6" borderId="10" xfId="6" applyFont="1" applyFill="1" applyBorder="1" applyAlignment="1">
      <alignment horizontal="center" vertical="center" wrapText="1"/>
    </xf>
    <xf numFmtId="0" fontId="40" fillId="6" borderId="10" xfId="6" applyFont="1" applyFill="1" applyBorder="1" applyAlignment="1">
      <alignment horizontal="center" vertical="center" wrapText="1"/>
    </xf>
    <xf numFmtId="0" fontId="69" fillId="6" borderId="10" xfId="6" applyFont="1" applyFill="1" applyBorder="1" applyAlignment="1">
      <alignment horizontal="center" vertical="center" wrapText="1"/>
    </xf>
    <xf numFmtId="0" fontId="1" fillId="0" borderId="10" xfId="6" applyFont="1" applyBorder="1" applyAlignment="1">
      <alignment horizontal="center" vertical="center"/>
    </xf>
    <xf numFmtId="0" fontId="70" fillId="9" borderId="10" xfId="6" applyFont="1" applyFill="1" applyBorder="1" applyAlignment="1">
      <alignment horizontal="center" vertical="center" wrapText="1"/>
    </xf>
    <xf numFmtId="0" fontId="71" fillId="9" borderId="10" xfId="6" applyFont="1" applyFill="1" applyBorder="1" applyAlignment="1">
      <alignment horizontal="center" vertical="center" wrapText="1"/>
    </xf>
    <xf numFmtId="0" fontId="72" fillId="22" borderId="10" xfId="6" applyFont="1" applyFill="1" applyBorder="1" applyAlignment="1">
      <alignment horizontal="center" vertical="center"/>
    </xf>
    <xf numFmtId="0" fontId="62" fillId="31" borderId="42" xfId="6" applyFont="1" applyFill="1" applyBorder="1" applyAlignment="1">
      <alignment vertical="center" wrapText="1"/>
    </xf>
    <xf numFmtId="0" fontId="122" fillId="31" borderId="42" xfId="6" applyFont="1" applyFill="1" applyBorder="1" applyAlignment="1">
      <alignment vertical="center" wrapText="1"/>
    </xf>
    <xf numFmtId="0" fontId="122" fillId="32" borderId="42" xfId="6" applyFont="1" applyFill="1" applyBorder="1" applyAlignment="1">
      <alignment vertical="center" wrapText="1"/>
    </xf>
    <xf numFmtId="0" fontId="122" fillId="33" borderId="42" xfId="6" applyFont="1" applyFill="1" applyBorder="1" applyAlignment="1">
      <alignment vertical="center" wrapText="1"/>
    </xf>
    <xf numFmtId="0" fontId="122" fillId="34" borderId="42" xfId="6" applyFont="1" applyFill="1" applyBorder="1" applyAlignment="1">
      <alignment vertical="center" wrapText="1"/>
    </xf>
    <xf numFmtId="3" fontId="122" fillId="34" borderId="43" xfId="6" applyNumberFormat="1" applyFont="1" applyFill="1" applyBorder="1" applyAlignment="1">
      <alignment vertical="center" wrapText="1"/>
    </xf>
    <xf numFmtId="39" fontId="90" fillId="16" borderId="10" xfId="6" applyNumberFormat="1" applyFill="1" applyBorder="1" applyAlignment="1">
      <alignment horizontal="right" vertical="center"/>
    </xf>
    <xf numFmtId="41" fontId="21" fillId="16" borderId="10" xfId="3" applyFont="1" applyFill="1" applyBorder="1" applyAlignment="1">
      <alignment horizontal="center" vertical="center" wrapText="1"/>
    </xf>
    <xf numFmtId="0" fontId="90" fillId="0" borderId="33" xfId="6" applyBorder="1" applyAlignment="1">
      <alignment horizontal="center" vertical="center"/>
    </xf>
    <xf numFmtId="0" fontId="123" fillId="34" borderId="42" xfId="6" applyFont="1" applyFill="1" applyBorder="1" applyAlignment="1">
      <alignment vertical="center" wrapText="1"/>
    </xf>
    <xf numFmtId="3" fontId="124" fillId="34" borderId="10" xfId="6" applyNumberFormat="1" applyFont="1" applyFill="1" applyBorder="1" applyAlignment="1">
      <alignment vertical="center" wrapText="1"/>
    </xf>
    <xf numFmtId="3" fontId="21" fillId="16" borderId="10" xfId="3" applyNumberFormat="1" applyFont="1" applyFill="1" applyBorder="1" applyAlignment="1">
      <alignment vertical="center" wrapText="1"/>
    </xf>
    <xf numFmtId="39" fontId="28" fillId="16" borderId="10" xfId="3" applyNumberFormat="1" applyFont="1" applyFill="1" applyBorder="1" applyAlignment="1">
      <alignment horizontal="right" vertical="center" wrapText="1"/>
    </xf>
    <xf numFmtId="3" fontId="123" fillId="34" borderId="10" xfId="6" applyNumberFormat="1" applyFont="1" applyFill="1" applyBorder="1" applyAlignment="1">
      <alignment vertical="center" wrapText="1"/>
    </xf>
    <xf numFmtId="0" fontId="90" fillId="3" borderId="0" xfId="6" applyFill="1" applyAlignment="1">
      <alignment horizontal="center" vertical="center"/>
    </xf>
    <xf numFmtId="0" fontId="123" fillId="36" borderId="46" xfId="6" applyFont="1" applyFill="1" applyBorder="1" applyAlignment="1">
      <alignment vertical="center" wrapText="1"/>
    </xf>
    <xf numFmtId="3" fontId="122" fillId="36" borderId="47" xfId="6" applyNumberFormat="1" applyFont="1" applyFill="1" applyBorder="1" applyAlignment="1">
      <alignment vertical="center" wrapText="1"/>
    </xf>
    <xf numFmtId="39" fontId="90" fillId="3" borderId="10" xfId="6" applyNumberFormat="1" applyFill="1" applyBorder="1" applyAlignment="1">
      <alignment horizontal="right" vertical="center"/>
    </xf>
    <xf numFmtId="0" fontId="123" fillId="36" borderId="45" xfId="6" applyFont="1" applyFill="1" applyBorder="1" applyAlignment="1">
      <alignment vertical="center" wrapText="1"/>
    </xf>
    <xf numFmtId="3" fontId="124" fillId="36" borderId="15" xfId="6" applyNumberFormat="1" applyFont="1" applyFill="1" applyBorder="1" applyAlignment="1">
      <alignment vertical="center" wrapText="1"/>
    </xf>
    <xf numFmtId="3" fontId="21" fillId="3" borderId="10" xfId="3" applyNumberFormat="1" applyFont="1" applyFill="1" applyBorder="1" applyAlignment="1">
      <alignment vertical="center" wrapText="1"/>
    </xf>
    <xf numFmtId="39" fontId="28" fillId="3" borderId="10" xfId="3" applyNumberFormat="1" applyFont="1" applyFill="1" applyBorder="1" applyAlignment="1">
      <alignment horizontal="right" vertical="center" wrapText="1"/>
    </xf>
    <xf numFmtId="3" fontId="123" fillId="36" borderId="15" xfId="6" applyNumberFormat="1" applyFont="1" applyFill="1" applyBorder="1" applyAlignment="1">
      <alignment vertical="center" wrapText="1"/>
    </xf>
    <xf numFmtId="0" fontId="123" fillId="36" borderId="48" xfId="6" applyFont="1" applyFill="1" applyBorder="1" applyAlignment="1">
      <alignment vertical="center" wrapText="1"/>
    </xf>
    <xf numFmtId="0" fontId="122" fillId="34" borderId="43" xfId="6" applyFont="1" applyFill="1" applyBorder="1" applyAlignment="1">
      <alignment vertical="center" wrapText="1"/>
    </xf>
    <xf numFmtId="41" fontId="125" fillId="16" borderId="10" xfId="3" applyFont="1" applyFill="1" applyBorder="1" applyAlignment="1">
      <alignment horizontal="center" vertical="center" wrapText="1"/>
    </xf>
    <xf numFmtId="3" fontId="124" fillId="34" borderId="15" xfId="6" applyNumberFormat="1" applyFont="1" applyFill="1" applyBorder="1" applyAlignment="1">
      <alignment vertical="center" wrapText="1"/>
    </xf>
    <xf numFmtId="3" fontId="123" fillId="34" borderId="15" xfId="6" applyNumberFormat="1" applyFont="1" applyFill="1" applyBorder="1" applyAlignment="1">
      <alignment vertical="center" wrapText="1"/>
    </xf>
    <xf numFmtId="0" fontId="122" fillId="36" borderId="42" xfId="6" applyFont="1" applyFill="1" applyBorder="1" applyAlignment="1">
      <alignment vertical="center" wrapText="1"/>
    </xf>
    <xf numFmtId="0" fontId="123" fillId="34" borderId="46" xfId="6" applyFont="1" applyFill="1" applyBorder="1" applyAlignment="1">
      <alignment vertical="center" wrapText="1"/>
    </xf>
    <xf numFmtId="3" fontId="122" fillId="34" borderId="47" xfId="6" applyNumberFormat="1" applyFont="1" applyFill="1" applyBorder="1" applyAlignment="1">
      <alignment vertical="center" wrapText="1"/>
    </xf>
    <xf numFmtId="0" fontId="23" fillId="34" borderId="50" xfId="6" applyFont="1" applyFill="1" applyBorder="1" applyAlignment="1">
      <alignment vertical="center" wrapText="1"/>
    </xf>
    <xf numFmtId="0" fontId="124" fillId="36" borderId="50" xfId="6" applyFont="1" applyFill="1" applyBorder="1" applyAlignment="1">
      <alignment vertical="center" wrapText="1"/>
    </xf>
    <xf numFmtId="0" fontId="123" fillId="36" borderId="15" xfId="6" applyFont="1" applyFill="1" applyBorder="1" applyAlignment="1">
      <alignment vertical="center" wrapText="1"/>
    </xf>
    <xf numFmtId="0" fontId="122" fillId="34" borderId="48" xfId="6" applyFont="1" applyFill="1" applyBorder="1" applyAlignment="1">
      <alignment vertical="center" wrapText="1"/>
    </xf>
    <xf numFmtId="0" fontId="123" fillId="34" borderId="50" xfId="6" applyFont="1" applyFill="1" applyBorder="1" applyAlignment="1">
      <alignment vertical="center" wrapText="1"/>
    </xf>
    <xf numFmtId="0" fontId="123" fillId="33" borderId="46" xfId="6" applyFont="1" applyFill="1" applyBorder="1" applyAlignment="1">
      <alignment vertical="center" wrapText="1"/>
    </xf>
    <xf numFmtId="0" fontId="122" fillId="36" borderId="48" xfId="6" applyFont="1" applyFill="1" applyBorder="1" applyAlignment="1">
      <alignment vertical="center" wrapText="1"/>
    </xf>
    <xf numFmtId="0" fontId="123" fillId="36" borderId="10" xfId="6" applyFont="1" applyFill="1" applyBorder="1" applyAlignment="1">
      <alignment vertical="center" wrapText="1"/>
    </xf>
    <xf numFmtId="3" fontId="124" fillId="36" borderId="36" xfId="6" applyNumberFormat="1" applyFont="1" applyFill="1" applyBorder="1" applyAlignment="1">
      <alignment vertical="center" wrapText="1"/>
    </xf>
    <xf numFmtId="3" fontId="123" fillId="36" borderId="36" xfId="6" applyNumberFormat="1" applyFont="1" applyFill="1" applyBorder="1" applyAlignment="1">
      <alignment vertical="center" wrapText="1"/>
    </xf>
    <xf numFmtId="0" fontId="124" fillId="34" borderId="15" xfId="6" applyFont="1" applyFill="1" applyBorder="1" applyAlignment="1">
      <alignment vertical="center" wrapText="1"/>
    </xf>
    <xf numFmtId="3" fontId="124" fillId="34" borderId="36" xfId="6" applyNumberFormat="1" applyFont="1" applyFill="1" applyBorder="1" applyAlignment="1">
      <alignment vertical="center" wrapText="1"/>
    </xf>
    <xf numFmtId="0" fontId="123" fillId="34" borderId="36" xfId="6" applyFont="1" applyFill="1" applyBorder="1" applyAlignment="1">
      <alignment vertical="center" wrapText="1"/>
    </xf>
    <xf numFmtId="0" fontId="123" fillId="34" borderId="15" xfId="6" applyFont="1" applyFill="1" applyBorder="1" applyAlignment="1">
      <alignment vertical="center" wrapText="1"/>
    </xf>
    <xf numFmtId="3" fontId="123" fillId="34" borderId="36" xfId="6" applyNumberFormat="1" applyFont="1" applyFill="1" applyBorder="1" applyAlignment="1">
      <alignment vertical="center" wrapText="1"/>
    </xf>
    <xf numFmtId="0" fontId="62" fillId="36" borderId="42" xfId="6" applyFont="1" applyFill="1" applyBorder="1" applyAlignment="1">
      <alignment vertical="center" wrapText="1"/>
    </xf>
    <xf numFmtId="0" fontId="122" fillId="32" borderId="48" xfId="6" applyFont="1" applyFill="1" applyBorder="1" applyAlignment="1">
      <alignment vertical="center" wrapText="1"/>
    </xf>
    <xf numFmtId="0" fontId="122" fillId="33" borderId="48" xfId="6" applyFont="1" applyFill="1" applyBorder="1" applyAlignment="1">
      <alignment vertical="center" wrapText="1"/>
    </xf>
    <xf numFmtId="41" fontId="21" fillId="3" borderId="15" xfId="3" applyFont="1" applyFill="1" applyBorder="1" applyAlignment="1">
      <alignment horizontal="center" vertical="center" wrapText="1"/>
    </xf>
    <xf numFmtId="41" fontId="56" fillId="3" borderId="10" xfId="3" applyFont="1" applyFill="1" applyBorder="1" applyAlignment="1">
      <alignment horizontal="center" vertical="center" wrapText="1"/>
    </xf>
    <xf numFmtId="0" fontId="122" fillId="34" borderId="47" xfId="6" applyFont="1" applyFill="1" applyBorder="1" applyAlignment="1">
      <alignment vertical="center" wrapText="1"/>
    </xf>
    <xf numFmtId="0" fontId="126" fillId="34" borderId="49" xfId="6" applyFont="1" applyFill="1" applyBorder="1" applyAlignment="1">
      <alignment vertical="center" wrapText="1"/>
    </xf>
    <xf numFmtId="3" fontId="126" fillId="34" borderId="15" xfId="6" applyNumberFormat="1" applyFont="1" applyFill="1" applyBorder="1" applyAlignment="1">
      <alignment vertical="center" wrapText="1"/>
    </xf>
    <xf numFmtId="41" fontId="21" fillId="3" borderId="12" xfId="3" applyFont="1" applyFill="1" applyBorder="1" applyAlignment="1">
      <alignment horizontal="center" vertical="center" wrapText="1"/>
    </xf>
    <xf numFmtId="0" fontId="123" fillId="36" borderId="50" xfId="6" applyFont="1" applyFill="1" applyBorder="1" applyAlignment="1">
      <alignment vertical="center" wrapText="1"/>
    </xf>
    <xf numFmtId="0" fontId="123" fillId="16" borderId="46" xfId="6" applyFont="1" applyFill="1" applyBorder="1" applyAlignment="1">
      <alignment vertical="center" wrapText="1"/>
    </xf>
    <xf numFmtId="0" fontId="122" fillId="16" borderId="48" xfId="6" applyFont="1" applyFill="1" applyBorder="1" applyAlignment="1">
      <alignment vertical="center" wrapText="1"/>
    </xf>
    <xf numFmtId="3" fontId="122" fillId="16" borderId="47" xfId="6" applyNumberFormat="1" applyFont="1" applyFill="1" applyBorder="1" applyAlignment="1">
      <alignment vertical="center" wrapText="1"/>
    </xf>
    <xf numFmtId="0" fontId="90" fillId="16" borderId="0" xfId="6" applyFill="1" applyAlignment="1">
      <alignment horizontal="center" vertical="center"/>
    </xf>
    <xf numFmtId="0" fontId="23" fillId="16" borderId="10" xfId="6" applyFont="1" applyFill="1" applyBorder="1" applyAlignment="1">
      <alignment vertical="center" wrapText="1"/>
    </xf>
    <xf numFmtId="3" fontId="124" fillId="16" borderId="36" xfId="6" applyNumberFormat="1" applyFont="1" applyFill="1" applyBorder="1" applyAlignment="1">
      <alignment vertical="center" wrapText="1"/>
    </xf>
    <xf numFmtId="3" fontId="123" fillId="16" borderId="36" xfId="6" applyNumberFormat="1" applyFont="1" applyFill="1" applyBorder="1" applyAlignment="1">
      <alignment vertical="center" wrapText="1"/>
    </xf>
    <xf numFmtId="0" fontId="123" fillId="3" borderId="46" xfId="6" applyFont="1" applyFill="1" applyBorder="1" applyAlignment="1">
      <alignment vertical="center" wrapText="1"/>
    </xf>
    <xf numFmtId="0" fontId="122" fillId="3" borderId="48" xfId="6" applyFont="1" applyFill="1" applyBorder="1" applyAlignment="1">
      <alignment vertical="center" wrapText="1"/>
    </xf>
    <xf numFmtId="3" fontId="122" fillId="3" borderId="47" xfId="6" applyNumberFormat="1" applyFont="1" applyFill="1" applyBorder="1" applyAlignment="1">
      <alignment vertical="center" wrapText="1"/>
    </xf>
    <xf numFmtId="41" fontId="125" fillId="3" borderId="10" xfId="3" applyFont="1" applyFill="1" applyBorder="1" applyAlignment="1">
      <alignment horizontal="center" vertical="center" wrapText="1"/>
    </xf>
    <xf numFmtId="0" fontId="123" fillId="3" borderId="48" xfId="6" applyFont="1" applyFill="1" applyBorder="1" applyAlignment="1">
      <alignment vertical="center" wrapText="1"/>
    </xf>
    <xf numFmtId="3" fontId="124" fillId="3" borderId="53" xfId="6" applyNumberFormat="1" applyFont="1" applyFill="1" applyBorder="1" applyAlignment="1">
      <alignment vertical="center" wrapText="1"/>
    </xf>
    <xf numFmtId="0" fontId="123" fillId="3" borderId="53" xfId="6" applyFont="1" applyFill="1" applyBorder="1" applyAlignment="1">
      <alignment vertical="center" wrapText="1"/>
    </xf>
    <xf numFmtId="0" fontId="123" fillId="16" borderId="10" xfId="6" applyFont="1" applyFill="1" applyBorder="1" applyAlignment="1">
      <alignment vertical="center" wrapText="1"/>
    </xf>
    <xf numFmtId="3" fontId="124" fillId="16" borderId="16" xfId="6" applyNumberFormat="1" applyFont="1" applyFill="1" applyBorder="1" applyAlignment="1">
      <alignment vertical="center" wrapText="1"/>
    </xf>
    <xf numFmtId="3" fontId="123" fillId="16" borderId="16" xfId="6" applyNumberFormat="1" applyFont="1" applyFill="1" applyBorder="1" applyAlignment="1">
      <alignment vertical="center" wrapText="1"/>
    </xf>
    <xf numFmtId="0" fontId="21" fillId="3" borderId="4" xfId="2" applyFont="1" applyFill="1" applyBorder="1" applyAlignment="1">
      <alignment horizontal="center" vertical="center" wrapText="1"/>
    </xf>
    <xf numFmtId="0" fontId="21" fillId="3" borderId="4" xfId="2" applyFont="1" applyFill="1" applyBorder="1" applyAlignment="1">
      <alignment horizontal="left" vertical="center" wrapText="1"/>
    </xf>
    <xf numFmtId="0" fontId="21" fillId="3" borderId="4" xfId="2" applyFont="1" applyFill="1" applyBorder="1" applyAlignment="1" applyProtection="1">
      <alignment horizontal="center" vertical="center" wrapText="1"/>
      <protection locked="0"/>
    </xf>
    <xf numFmtId="0" fontId="23" fillId="3" borderId="4" xfId="2" applyFont="1" applyFill="1" applyBorder="1" applyAlignment="1" applyProtection="1">
      <alignment vertical="center" wrapText="1"/>
      <protection locked="0"/>
    </xf>
    <xf numFmtId="0" fontId="23" fillId="3" borderId="2" xfId="2" applyFont="1" applyFill="1" applyBorder="1" applyAlignment="1" applyProtection="1">
      <alignment horizontal="center" vertical="center" wrapText="1"/>
      <protection locked="0"/>
    </xf>
    <xf numFmtId="0" fontId="21" fillId="3" borderId="2" xfId="2" applyFont="1" applyFill="1" applyBorder="1" applyAlignment="1">
      <alignment horizontal="left" vertical="center" wrapText="1"/>
    </xf>
    <xf numFmtId="41" fontId="21" fillId="3" borderId="2" xfId="3" applyFont="1" applyFill="1" applyBorder="1" applyAlignment="1">
      <alignment horizontal="center" vertical="center" wrapText="1"/>
    </xf>
    <xf numFmtId="3" fontId="122" fillId="3" borderId="10" xfId="6" applyNumberFormat="1" applyFont="1" applyFill="1" applyBorder="1" applyAlignment="1">
      <alignment vertical="center" wrapText="1"/>
    </xf>
    <xf numFmtId="0" fontId="123" fillId="3" borderId="10" xfId="6" applyFont="1" applyFill="1" applyBorder="1" applyAlignment="1">
      <alignment vertical="center" wrapText="1"/>
    </xf>
    <xf numFmtId="3" fontId="124" fillId="3" borderId="16" xfId="6" applyNumberFormat="1" applyFont="1" applyFill="1" applyBorder="1" applyAlignment="1">
      <alignment vertical="center" wrapText="1"/>
    </xf>
    <xf numFmtId="3" fontId="123" fillId="3" borderId="16" xfId="6" applyNumberFormat="1" applyFont="1" applyFill="1" applyBorder="1" applyAlignment="1">
      <alignment vertical="center" wrapText="1"/>
    </xf>
    <xf numFmtId="0" fontId="21" fillId="3" borderId="25" xfId="2" applyFont="1" applyFill="1" applyBorder="1" applyAlignment="1">
      <alignment horizontal="center" vertical="center" wrapText="1"/>
    </xf>
    <xf numFmtId="0" fontId="21" fillId="3" borderId="25" xfId="2" applyFont="1" applyFill="1" applyBorder="1" applyAlignment="1">
      <alignment horizontal="left" vertical="center" wrapText="1"/>
    </xf>
    <xf numFmtId="0" fontId="21" fillId="3" borderId="25" xfId="2" applyFont="1" applyFill="1" applyBorder="1" applyAlignment="1" applyProtection="1">
      <alignment horizontal="center" vertical="center" wrapText="1"/>
      <protection locked="0"/>
    </xf>
    <xf numFmtId="0" fontId="23" fillId="3" borderId="25" xfId="2" applyFont="1" applyFill="1" applyBorder="1" applyAlignment="1" applyProtection="1">
      <alignment vertical="center" wrapText="1"/>
      <protection locked="0"/>
    </xf>
    <xf numFmtId="0" fontId="23" fillId="3" borderId="3" xfId="2" applyFont="1" applyFill="1" applyBorder="1" applyAlignment="1" applyProtection="1">
      <alignment horizontal="center" vertical="center" wrapText="1"/>
      <protection locked="0"/>
    </xf>
    <xf numFmtId="0" fontId="21" fillId="16" borderId="3" xfId="2" applyFont="1" applyFill="1" applyBorder="1" applyAlignment="1">
      <alignment horizontal="left" vertical="center" wrapText="1"/>
    </xf>
    <xf numFmtId="41" fontId="21" fillId="16" borderId="3" xfId="3" applyFont="1" applyFill="1" applyBorder="1" applyAlignment="1">
      <alignment horizontal="center" vertical="center" wrapText="1"/>
    </xf>
    <xf numFmtId="3" fontId="123" fillId="16" borderId="12" xfId="6" applyNumberFormat="1" applyFont="1" applyFill="1" applyBorder="1" applyAlignment="1">
      <alignment vertical="center" wrapText="1"/>
    </xf>
    <xf numFmtId="39" fontId="90" fillId="16" borderId="12" xfId="6" applyNumberFormat="1" applyFill="1" applyBorder="1" applyAlignment="1">
      <alignment horizontal="right" vertical="center"/>
    </xf>
    <xf numFmtId="41" fontId="21" fillId="16" borderId="12" xfId="3" applyFont="1" applyFill="1" applyBorder="1" applyAlignment="1">
      <alignment horizontal="center" vertical="center" wrapText="1"/>
    </xf>
    <xf numFmtId="0" fontId="23" fillId="16" borderId="45" xfId="6" applyFont="1" applyFill="1" applyBorder="1" applyAlignment="1">
      <alignment vertical="center" wrapText="1"/>
    </xf>
    <xf numFmtId="3" fontId="124" fillId="16" borderId="15" xfId="6" applyNumberFormat="1" applyFont="1" applyFill="1" applyBorder="1" applyAlignment="1">
      <alignment vertical="center" wrapText="1"/>
    </xf>
    <xf numFmtId="3" fontId="123" fillId="16" borderId="15" xfId="6" applyNumberFormat="1" applyFont="1" applyFill="1" applyBorder="1" applyAlignment="1">
      <alignment vertical="center" wrapText="1"/>
    </xf>
    <xf numFmtId="0" fontId="21" fillId="0" borderId="10" xfId="2" applyFont="1" applyBorder="1" applyAlignment="1">
      <alignment horizontal="center" vertical="center" wrapText="1"/>
    </xf>
    <xf numFmtId="0" fontId="23" fillId="0" borderId="10" xfId="2" applyFont="1" applyBorder="1" applyAlignment="1">
      <alignment vertical="center" wrapText="1"/>
    </xf>
    <xf numFmtId="0" fontId="62" fillId="0" borderId="10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41" fontId="45" fillId="0" borderId="10" xfId="3" applyFont="1" applyFill="1" applyBorder="1" applyAlignment="1">
      <alignment horizontal="right" vertical="center" wrapText="1"/>
    </xf>
    <xf numFmtId="39" fontId="28" fillId="0" borderId="10" xfId="3" applyNumberFormat="1" applyFont="1" applyFill="1" applyBorder="1" applyAlignment="1">
      <alignment horizontal="right" vertical="center" wrapText="1"/>
    </xf>
    <xf numFmtId="0" fontId="60" fillId="0" borderId="10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/>
    </xf>
    <xf numFmtId="41" fontId="90" fillId="0" borderId="10" xfId="6" applyNumberFormat="1" applyBorder="1" applyAlignment="1">
      <alignment horizontal="center" vertical="center"/>
    </xf>
    <xf numFmtId="3" fontId="90" fillId="0" borderId="10" xfId="6" applyNumberFormat="1" applyBorder="1" applyAlignment="1">
      <alignment horizontal="right" vertical="center"/>
    </xf>
    <xf numFmtId="0" fontId="21" fillId="0" borderId="0" xfId="2" applyFont="1" applyAlignment="1">
      <alignment horizontal="center" vertical="center" wrapText="1"/>
    </xf>
    <xf numFmtId="0" fontId="21" fillId="0" borderId="0" xfId="2" applyFont="1" applyAlignment="1">
      <alignment horizontal="left" vertical="center" wrapText="1"/>
    </xf>
    <xf numFmtId="0" fontId="23" fillId="0" borderId="0" xfId="2" applyFont="1" applyAlignment="1">
      <alignment vertical="center" wrapText="1"/>
    </xf>
    <xf numFmtId="0" fontId="62" fillId="0" borderId="0" xfId="6" applyFont="1" applyAlignment="1">
      <alignment horizontal="center" vertical="center" wrapText="1"/>
    </xf>
    <xf numFmtId="0" fontId="64" fillId="0" borderId="0" xfId="6" applyFont="1" applyAlignment="1">
      <alignment horizontal="center" vertical="center" wrapText="1"/>
    </xf>
    <xf numFmtId="41" fontId="45" fillId="0" borderId="0" xfId="3" applyFont="1" applyFill="1" applyBorder="1" applyAlignment="1">
      <alignment horizontal="right" vertical="center" wrapText="1"/>
    </xf>
    <xf numFmtId="39" fontId="35" fillId="0" borderId="0" xfId="3" applyNumberFormat="1" applyFont="1" applyFill="1" applyBorder="1" applyAlignment="1">
      <alignment horizontal="right" vertical="center" wrapText="1"/>
    </xf>
    <xf numFmtId="0" fontId="60" fillId="0" borderId="0" xfId="6" applyFont="1" applyAlignment="1">
      <alignment horizontal="center" vertical="center" wrapText="1"/>
    </xf>
    <xf numFmtId="0" fontId="46" fillId="0" borderId="0" xfId="6" applyFont="1" applyAlignment="1">
      <alignment horizontal="center" vertical="center"/>
    </xf>
    <xf numFmtId="41" fontId="90" fillId="11" borderId="0" xfId="6" applyNumberFormat="1" applyFill="1" applyAlignment="1">
      <alignment horizontal="center" vertical="center"/>
    </xf>
    <xf numFmtId="39" fontId="28" fillId="0" borderId="0" xfId="3" applyNumberFormat="1" applyFont="1" applyFill="1" applyBorder="1" applyAlignment="1">
      <alignment horizontal="right" vertical="center" wrapText="1"/>
    </xf>
    <xf numFmtId="0" fontId="90" fillId="11" borderId="0" xfId="6" applyFill="1" applyAlignment="1">
      <alignment horizontal="center" vertical="center"/>
    </xf>
    <xf numFmtId="0" fontId="74" fillId="0" borderId="0" xfId="6" applyFont="1" applyAlignment="1">
      <alignment horizontal="left" vertical="center"/>
    </xf>
    <xf numFmtId="0" fontId="21" fillId="0" borderId="0" xfId="6" applyFont="1" applyAlignment="1">
      <alignment horizontal="center" vertical="center"/>
    </xf>
    <xf numFmtId="0" fontId="90" fillId="0" borderId="54" xfId="6" applyBorder="1" applyAlignment="1">
      <alignment horizontal="left" vertical="center"/>
    </xf>
    <xf numFmtId="41" fontId="90" fillId="0" borderId="54" xfId="6" applyNumberFormat="1" applyBorder="1" applyAlignment="1">
      <alignment horizontal="center" vertical="center"/>
    </xf>
    <xf numFmtId="0" fontId="90" fillId="0" borderId="54" xfId="6" applyBorder="1" applyAlignment="1">
      <alignment horizontal="center" vertical="center"/>
    </xf>
    <xf numFmtId="0" fontId="104" fillId="0" borderId="54" xfId="6" applyFont="1" applyBorder="1" applyAlignment="1">
      <alignment horizontal="left" vertical="center"/>
    </xf>
    <xf numFmtId="41" fontId="104" fillId="0" borderId="54" xfId="6" applyNumberFormat="1" applyFont="1" applyBorder="1" applyAlignment="1">
      <alignment horizontal="center" vertical="center"/>
    </xf>
    <xf numFmtId="0" fontId="105" fillId="0" borderId="54" xfId="6" applyFont="1" applyBorder="1" applyAlignment="1">
      <alignment horizontal="left" vertical="center"/>
    </xf>
    <xf numFmtId="41" fontId="105" fillId="0" borderId="54" xfId="6" applyNumberFormat="1" applyFont="1" applyBorder="1" applyAlignment="1">
      <alignment horizontal="center" vertical="center"/>
    </xf>
    <xf numFmtId="41" fontId="127" fillId="0" borderId="0" xfId="6" applyNumberFormat="1" applyFont="1" applyAlignment="1">
      <alignment horizontal="center" vertical="center"/>
    </xf>
    <xf numFmtId="0" fontId="128" fillId="38" borderId="10" xfId="6" applyFont="1" applyFill="1" applyBorder="1" applyAlignment="1">
      <alignment vertical="center" wrapText="1"/>
    </xf>
    <xf numFmtId="0" fontId="129" fillId="0" borderId="16" xfId="6" applyFont="1" applyBorder="1" applyAlignment="1">
      <alignment vertical="center" wrapText="1"/>
    </xf>
    <xf numFmtId="0" fontId="128" fillId="39" borderId="16" xfId="6" applyFont="1" applyFill="1" applyBorder="1" applyAlignment="1">
      <alignment vertical="center" wrapText="1"/>
    </xf>
    <xf numFmtId="0" fontId="128" fillId="40" borderId="16" xfId="6" applyFont="1" applyFill="1" applyBorder="1" applyAlignment="1">
      <alignment vertical="center" wrapText="1"/>
    </xf>
    <xf numFmtId="0" fontId="130" fillId="0" borderId="33" xfId="6" applyFont="1" applyBorder="1">
      <alignment vertical="center"/>
    </xf>
    <xf numFmtId="0" fontId="130" fillId="0" borderId="16" xfId="6" applyFont="1" applyBorder="1">
      <alignment vertical="center"/>
    </xf>
    <xf numFmtId="0" fontId="14" fillId="0" borderId="16" xfId="6" applyFont="1" applyBorder="1">
      <alignment vertical="center"/>
    </xf>
    <xf numFmtId="0" fontId="131" fillId="0" borderId="33" xfId="6" applyFont="1" applyBorder="1" applyAlignment="1">
      <alignment vertical="center" wrapText="1"/>
    </xf>
    <xf numFmtId="0" fontId="131" fillId="0" borderId="16" xfId="6" applyFont="1" applyBorder="1" applyAlignment="1">
      <alignment vertical="center" wrapText="1"/>
    </xf>
    <xf numFmtId="0" fontId="133" fillId="25" borderId="37" xfId="6" applyFont="1" applyFill="1" applyBorder="1" applyAlignment="1">
      <alignment vertical="center" wrapText="1"/>
    </xf>
    <xf numFmtId="0" fontId="134" fillId="25" borderId="37" xfId="6" applyFont="1" applyFill="1" applyBorder="1" applyAlignment="1">
      <alignment vertical="center" wrapText="1"/>
    </xf>
    <xf numFmtId="0" fontId="133" fillId="26" borderId="37" xfId="6" applyFont="1" applyFill="1" applyBorder="1" applyAlignment="1">
      <alignment vertical="center" wrapText="1"/>
    </xf>
    <xf numFmtId="0" fontId="133" fillId="27" borderId="37" xfId="6" applyFont="1" applyFill="1" applyBorder="1" applyAlignment="1">
      <alignment vertical="center" wrapText="1"/>
    </xf>
    <xf numFmtId="0" fontId="134" fillId="27" borderId="37" xfId="6" applyFont="1" applyFill="1" applyBorder="1" applyAlignment="1">
      <alignment vertical="center" wrapText="1"/>
    </xf>
    <xf numFmtId="0" fontId="133" fillId="28" borderId="37" xfId="6" applyFont="1" applyFill="1" applyBorder="1" applyAlignment="1">
      <alignment vertical="center" wrapText="1"/>
    </xf>
    <xf numFmtId="0" fontId="136" fillId="28" borderId="37" xfId="6" applyFont="1" applyFill="1" applyBorder="1" applyAlignment="1">
      <alignment vertical="center" wrapText="1"/>
    </xf>
    <xf numFmtId="0" fontId="94" fillId="28" borderId="37" xfId="6" applyFont="1" applyFill="1" applyBorder="1" applyAlignment="1">
      <alignment vertical="center" wrapText="1"/>
    </xf>
    <xf numFmtId="0" fontId="133" fillId="28" borderId="37" xfId="6" applyFont="1" applyFill="1" applyBorder="1" applyAlignment="1">
      <alignment horizontal="center" vertical="center" wrapText="1"/>
    </xf>
    <xf numFmtId="0" fontId="135" fillId="0" borderId="36" xfId="6" applyFont="1" applyBorder="1">
      <alignment vertical="center"/>
    </xf>
    <xf numFmtId="0" fontId="137" fillId="29" borderId="36" xfId="6" applyFont="1" applyFill="1" applyBorder="1" applyAlignment="1">
      <alignment vertical="center" wrapText="1"/>
    </xf>
    <xf numFmtId="0" fontId="134" fillId="29" borderId="36" xfId="6" applyFont="1" applyFill="1" applyBorder="1" applyAlignment="1">
      <alignment horizontal="center" vertical="center" wrapText="1"/>
    </xf>
    <xf numFmtId="0" fontId="138" fillId="30" borderId="36" xfId="6" applyFont="1" applyFill="1" applyBorder="1" applyAlignment="1">
      <alignment horizontal="center" vertical="center"/>
    </xf>
    <xf numFmtId="0" fontId="23" fillId="31" borderId="10" xfId="6" applyFont="1" applyFill="1" applyBorder="1" applyAlignment="1">
      <alignment horizontal="center" vertical="center" wrapText="1"/>
    </xf>
    <xf numFmtId="0" fontId="23" fillId="31" borderId="10" xfId="6" applyFont="1" applyFill="1" applyBorder="1" applyAlignment="1">
      <alignment vertical="center" wrapText="1"/>
    </xf>
    <xf numFmtId="0" fontId="23" fillId="32" borderId="10" xfId="6" applyFont="1" applyFill="1" applyBorder="1" applyAlignment="1">
      <alignment horizontal="center" vertical="center" wrapText="1"/>
    </xf>
    <xf numFmtId="0" fontId="23" fillId="32" borderId="10" xfId="6" applyFont="1" applyFill="1" applyBorder="1" applyAlignment="1">
      <alignment vertical="center" wrapText="1"/>
    </xf>
    <xf numFmtId="0" fontId="23" fillId="33" borderId="36" xfId="6" applyFont="1" applyFill="1" applyBorder="1" applyAlignment="1">
      <alignment horizontal="center" vertical="center" wrapText="1"/>
    </xf>
    <xf numFmtId="0" fontId="23" fillId="33" borderId="36" xfId="6" applyFont="1" applyFill="1" applyBorder="1" applyAlignment="1">
      <alignment vertical="center" wrapText="1"/>
    </xf>
    <xf numFmtId="0" fontId="139" fillId="41" borderId="36" xfId="6" applyFont="1" applyFill="1" applyBorder="1" applyAlignment="1">
      <alignment horizontal="center" vertical="center" wrapText="1"/>
    </xf>
    <xf numFmtId="0" fontId="139" fillId="41" borderId="36" xfId="6" applyFont="1" applyFill="1" applyBorder="1" applyAlignment="1">
      <alignment vertical="center" wrapText="1"/>
    </xf>
    <xf numFmtId="3" fontId="139" fillId="41" borderId="10" xfId="6" applyNumberFormat="1" applyFont="1" applyFill="1" applyBorder="1" applyAlignment="1">
      <alignment vertical="center" wrapText="1"/>
    </xf>
    <xf numFmtId="0" fontId="139" fillId="41" borderId="10" xfId="6" applyFont="1" applyFill="1" applyBorder="1" applyAlignment="1">
      <alignment vertical="center" wrapText="1"/>
    </xf>
    <xf numFmtId="2" fontId="139" fillId="41" borderId="10" xfId="6" applyNumberFormat="1" applyFont="1" applyFill="1" applyBorder="1" applyAlignment="1">
      <alignment vertical="center" wrapText="1"/>
    </xf>
    <xf numFmtId="0" fontId="139" fillId="41" borderId="10" xfId="6" applyFont="1" applyFill="1" applyBorder="1" applyAlignment="1">
      <alignment horizontal="center" vertical="center" wrapText="1"/>
    </xf>
    <xf numFmtId="0" fontId="23" fillId="0" borderId="36" xfId="6" applyFont="1" applyBorder="1">
      <alignment vertical="center"/>
    </xf>
    <xf numFmtId="0" fontId="140" fillId="0" borderId="36" xfId="6" applyFont="1" applyBorder="1">
      <alignment vertical="center"/>
    </xf>
    <xf numFmtId="0" fontId="23" fillId="0" borderId="36" xfId="6" applyFont="1" applyBorder="1" applyAlignment="1">
      <alignment vertical="center" wrapText="1"/>
    </xf>
    <xf numFmtId="170" fontId="23" fillId="0" borderId="36" xfId="7" applyFont="1" applyBorder="1" applyAlignment="1">
      <alignment vertical="center" wrapText="1"/>
    </xf>
    <xf numFmtId="0" fontId="23" fillId="0" borderId="36" xfId="6" applyFont="1" applyBorder="1" applyAlignment="1">
      <alignment horizontal="center" vertical="center" wrapText="1"/>
    </xf>
    <xf numFmtId="0" fontId="142" fillId="0" borderId="36" xfId="6" applyFont="1" applyBorder="1" applyAlignment="1">
      <alignment vertical="center" wrapText="1"/>
    </xf>
    <xf numFmtId="0" fontId="139" fillId="36" borderId="36" xfId="6" applyFont="1" applyFill="1" applyBorder="1" applyAlignment="1">
      <alignment horizontal="center" vertical="center" wrapText="1"/>
    </xf>
    <xf numFmtId="0" fontId="139" fillId="36" borderId="36" xfId="6" applyFont="1" applyFill="1" applyBorder="1" applyAlignment="1">
      <alignment vertical="center" wrapText="1"/>
    </xf>
    <xf numFmtId="3" fontId="139" fillId="36" borderId="10" xfId="6" applyNumberFormat="1" applyFont="1" applyFill="1" applyBorder="1" applyAlignment="1">
      <alignment vertical="center" wrapText="1"/>
    </xf>
    <xf numFmtId="0" fontId="139" fillId="36" borderId="10" xfId="6" applyFont="1" applyFill="1" applyBorder="1" applyAlignment="1">
      <alignment vertical="center" wrapText="1"/>
    </xf>
    <xf numFmtId="0" fontId="139" fillId="36" borderId="10" xfId="6" applyFont="1" applyFill="1" applyBorder="1" applyAlignment="1">
      <alignment horizontal="center" vertical="center" wrapText="1"/>
    </xf>
    <xf numFmtId="0" fontId="101" fillId="0" borderId="36" xfId="6" applyFont="1" applyBorder="1" applyAlignment="1">
      <alignment vertical="center" wrapText="1"/>
    </xf>
    <xf numFmtId="3" fontId="101" fillId="0" borderId="36" xfId="6" applyNumberFormat="1" applyFont="1" applyBorder="1" applyAlignment="1">
      <alignment vertical="center" wrapText="1"/>
    </xf>
    <xf numFmtId="170" fontId="101" fillId="0" borderId="36" xfId="7" applyFont="1" applyBorder="1" applyAlignment="1">
      <alignment vertical="center" wrapText="1"/>
    </xf>
    <xf numFmtId="3" fontId="143" fillId="0" borderId="36" xfId="6" applyNumberFormat="1" applyFont="1" applyBorder="1" applyAlignment="1">
      <alignment vertical="center" wrapText="1"/>
    </xf>
    <xf numFmtId="0" fontId="23" fillId="31" borderId="55" xfId="6" applyFont="1" applyFill="1" applyBorder="1" applyAlignment="1">
      <alignment horizontal="center" vertical="center" wrapText="1"/>
    </xf>
    <xf numFmtId="2" fontId="139" fillId="3" borderId="10" xfId="6" applyNumberFormat="1" applyFont="1" applyFill="1" applyBorder="1" applyAlignment="1">
      <alignment vertical="center" wrapText="1"/>
    </xf>
    <xf numFmtId="0" fontId="139" fillId="36" borderId="56" xfId="6" applyFont="1" applyFill="1" applyBorder="1" applyAlignment="1">
      <alignment horizontal="center" vertical="center" wrapText="1"/>
    </xf>
    <xf numFmtId="0" fontId="23" fillId="0" borderId="15" xfId="6" applyFont="1" applyBorder="1">
      <alignment vertical="center"/>
    </xf>
    <xf numFmtId="0" fontId="28" fillId="0" borderId="36" xfId="6" applyFont="1" applyBorder="1" applyAlignment="1">
      <alignment vertical="center" wrapText="1"/>
    </xf>
    <xf numFmtId="3" fontId="142" fillId="36" borderId="36" xfId="6" applyNumberFormat="1" applyFont="1" applyFill="1" applyBorder="1" applyAlignment="1">
      <alignment vertical="center" wrapText="1"/>
    </xf>
    <xf numFmtId="0" fontId="23" fillId="41" borderId="36" xfId="6" applyFont="1" applyFill="1" applyBorder="1" applyAlignment="1">
      <alignment horizontal="center" vertical="center" wrapText="1"/>
    </xf>
    <xf numFmtId="0" fontId="23" fillId="41" borderId="36" xfId="6" applyFont="1" applyFill="1" applyBorder="1" applyAlignment="1">
      <alignment vertical="center" wrapText="1"/>
    </xf>
    <xf numFmtId="3" fontId="23" fillId="41" borderId="10" xfId="6" applyNumberFormat="1" applyFont="1" applyFill="1" applyBorder="1" applyAlignment="1">
      <alignment vertical="center" wrapText="1"/>
    </xf>
    <xf numFmtId="0" fontId="23" fillId="41" borderId="10" xfId="6" applyFont="1" applyFill="1" applyBorder="1" applyAlignment="1">
      <alignment vertical="center" wrapText="1"/>
    </xf>
    <xf numFmtId="2" fontId="23" fillId="41" borderId="10" xfId="6" applyNumberFormat="1" applyFont="1" applyFill="1" applyBorder="1" applyAlignment="1">
      <alignment vertical="center" wrapText="1"/>
    </xf>
    <xf numFmtId="0" fontId="23" fillId="41" borderId="56" xfId="6" applyFont="1" applyFill="1" applyBorder="1" applyAlignment="1">
      <alignment horizontal="center" vertical="center" wrapText="1"/>
    </xf>
    <xf numFmtId="0" fontId="56" fillId="41" borderId="36" xfId="6" applyFont="1" applyFill="1" applyBorder="1" applyAlignment="1">
      <alignment vertical="center" wrapText="1"/>
    </xf>
    <xf numFmtId="3" fontId="23" fillId="36" borderId="10" xfId="6" applyNumberFormat="1" applyFont="1" applyFill="1" applyBorder="1" applyAlignment="1">
      <alignment vertical="center" wrapText="1"/>
    </xf>
    <xf numFmtId="2" fontId="23" fillId="3" borderId="10" xfId="6" applyNumberFormat="1" applyFont="1" applyFill="1" applyBorder="1" applyAlignment="1">
      <alignment vertical="center" wrapText="1"/>
    </xf>
    <xf numFmtId="0" fontId="23" fillId="36" borderId="56" xfId="6" applyFont="1" applyFill="1" applyBorder="1" applyAlignment="1">
      <alignment horizontal="center" vertical="center" wrapText="1"/>
    </xf>
    <xf numFmtId="0" fontId="142" fillId="0" borderId="36" xfId="6" applyFont="1" applyBorder="1">
      <alignment vertical="center"/>
    </xf>
    <xf numFmtId="0" fontId="56" fillId="36" borderId="36" xfId="6" applyFont="1" applyFill="1" applyBorder="1" applyAlignment="1">
      <alignment vertical="center" wrapText="1"/>
    </xf>
    <xf numFmtId="3" fontId="142" fillId="0" borderId="36" xfId="6" applyNumberFormat="1" applyFont="1" applyBorder="1" applyAlignment="1">
      <alignment vertical="center" wrapText="1"/>
    </xf>
    <xf numFmtId="0" fontId="62" fillId="31" borderId="10" xfId="6" applyFont="1" applyFill="1" applyBorder="1" applyAlignment="1">
      <alignment horizontal="center" vertical="center" wrapText="1"/>
    </xf>
    <xf numFmtId="0" fontId="62" fillId="32" borderId="36" xfId="6" applyFont="1" applyFill="1" applyBorder="1" applyAlignment="1">
      <alignment horizontal="center" vertical="center" wrapText="1"/>
    </xf>
    <xf numFmtId="0" fontId="62" fillId="36" borderId="36" xfId="6" applyFont="1" applyFill="1" applyBorder="1" applyAlignment="1">
      <alignment horizontal="center" vertical="center" wrapText="1"/>
    </xf>
    <xf numFmtId="0" fontId="23" fillId="36" borderId="55" xfId="6" applyFont="1" applyFill="1" applyBorder="1" applyAlignment="1">
      <alignment horizontal="center" vertical="center" wrapText="1"/>
    </xf>
    <xf numFmtId="0" fontId="23" fillId="32" borderId="36" xfId="6" applyFont="1" applyFill="1" applyBorder="1" applyAlignment="1">
      <alignment horizontal="center" vertical="center" wrapText="1"/>
    </xf>
    <xf numFmtId="0" fontId="23" fillId="32" borderId="36" xfId="6" applyFont="1" applyFill="1" applyBorder="1" applyAlignment="1">
      <alignment vertical="center" wrapText="1"/>
    </xf>
    <xf numFmtId="0" fontId="145" fillId="36" borderId="36" xfId="6" applyFont="1" applyFill="1" applyBorder="1" applyAlignment="1">
      <alignment vertical="center" wrapText="1"/>
    </xf>
    <xf numFmtId="0" fontId="61" fillId="36" borderId="38" xfId="6" applyFont="1" applyFill="1" applyBorder="1" applyAlignment="1">
      <alignment vertical="center" wrapText="1"/>
    </xf>
    <xf numFmtId="0" fontId="23" fillId="36" borderId="38" xfId="6" applyFont="1" applyFill="1" applyBorder="1" applyAlignment="1">
      <alignment vertical="center" wrapText="1"/>
    </xf>
    <xf numFmtId="0" fontId="101" fillId="36" borderId="38" xfId="6" applyFont="1" applyFill="1" applyBorder="1" applyAlignment="1">
      <alignment horizontal="center" vertical="center"/>
    </xf>
    <xf numFmtId="3" fontId="101" fillId="36" borderId="38" xfId="6" applyNumberFormat="1" applyFont="1" applyFill="1" applyBorder="1" applyAlignment="1">
      <alignment vertical="center" wrapText="1"/>
    </xf>
    <xf numFmtId="2" fontId="101" fillId="3" borderId="10" xfId="6" applyNumberFormat="1" applyFont="1" applyFill="1" applyBorder="1" applyAlignment="1">
      <alignment vertical="center" wrapText="1"/>
    </xf>
    <xf numFmtId="0" fontId="101" fillId="0" borderId="36" xfId="6" applyFont="1" applyBorder="1">
      <alignment vertical="center"/>
    </xf>
    <xf numFmtId="3" fontId="101" fillId="42" borderId="36" xfId="6" applyNumberFormat="1" applyFont="1" applyFill="1" applyBorder="1">
      <alignment vertical="center"/>
    </xf>
    <xf numFmtId="170" fontId="23" fillId="0" borderId="36" xfId="7" applyFont="1" applyBorder="1">
      <alignment vertical="center"/>
    </xf>
    <xf numFmtId="0" fontId="28" fillId="43" borderId="36" xfId="6" applyFont="1" applyFill="1" applyBorder="1" applyAlignment="1">
      <alignment vertical="center" wrapText="1"/>
    </xf>
    <xf numFmtId="0" fontId="23" fillId="0" borderId="36" xfId="6" applyFont="1" applyBorder="1" applyAlignment="1">
      <alignment horizontal="center" vertical="center"/>
    </xf>
    <xf numFmtId="3" fontId="143" fillId="44" borderId="36" xfId="6" applyNumberFormat="1" applyFont="1" applyFill="1" applyBorder="1">
      <alignment vertical="center"/>
    </xf>
    <xf numFmtId="0" fontId="14" fillId="0" borderId="0" xfId="6" applyFont="1">
      <alignment vertical="center"/>
    </xf>
    <xf numFmtId="0" fontId="23" fillId="0" borderId="0" xfId="6" applyFont="1">
      <alignment vertical="center"/>
    </xf>
    <xf numFmtId="0" fontId="146" fillId="0" borderId="0" xfId="6" applyFont="1">
      <alignment vertical="center"/>
    </xf>
    <xf numFmtId="0" fontId="147" fillId="45" borderId="57" xfId="6" applyFont="1" applyFill="1" applyBorder="1">
      <alignment vertical="center"/>
    </xf>
    <xf numFmtId="0" fontId="148" fillId="46" borderId="58" xfId="6" applyFont="1" applyFill="1" applyBorder="1" applyAlignment="1">
      <alignment horizontal="center" vertical="center"/>
    </xf>
    <xf numFmtId="0" fontId="148" fillId="46" borderId="58" xfId="6" applyFont="1" applyFill="1" applyBorder="1">
      <alignment vertical="center"/>
    </xf>
    <xf numFmtId="0" fontId="102" fillId="45" borderId="58" xfId="6" applyFont="1" applyFill="1" applyBorder="1" applyAlignment="1">
      <alignment horizontal="center" vertical="center"/>
    </xf>
    <xf numFmtId="0" fontId="102" fillId="45" borderId="59" xfId="6" applyFont="1" applyFill="1" applyBorder="1" applyAlignment="1">
      <alignment horizontal="center" vertical="center"/>
    </xf>
    <xf numFmtId="0" fontId="149" fillId="0" borderId="60" xfId="6" applyFont="1" applyBorder="1">
      <alignment vertical="center"/>
    </xf>
    <xf numFmtId="3" fontId="14" fillId="36" borderId="61" xfId="6" applyNumberFormat="1" applyFont="1" applyFill="1" applyBorder="1">
      <alignment vertical="center"/>
    </xf>
    <xf numFmtId="170" fontId="14" fillId="0" borderId="61" xfId="6" applyNumberFormat="1" applyFont="1" applyBorder="1">
      <alignment vertical="center"/>
    </xf>
    <xf numFmtId="3" fontId="14" fillId="47" borderId="61" xfId="6" applyNumberFormat="1" applyFont="1" applyFill="1" applyBorder="1">
      <alignment vertical="center"/>
    </xf>
    <xf numFmtId="0" fontId="14" fillId="48" borderId="62" xfId="6" applyFont="1" applyFill="1" applyBorder="1">
      <alignment vertical="center"/>
    </xf>
    <xf numFmtId="0" fontId="14" fillId="0" borderId="61" xfId="6" applyFont="1" applyBorder="1">
      <alignment vertical="center"/>
    </xf>
    <xf numFmtId="0" fontId="14" fillId="47" borderId="61" xfId="6" applyFont="1" applyFill="1" applyBorder="1">
      <alignment vertical="center"/>
    </xf>
    <xf numFmtId="0" fontId="14" fillId="36" borderId="61" xfId="6" quotePrefix="1" applyFont="1" applyFill="1" applyBorder="1">
      <alignment vertical="center"/>
    </xf>
    <xf numFmtId="3" fontId="14" fillId="42" borderId="61" xfId="6" applyNumberFormat="1" applyFont="1" applyFill="1" applyBorder="1">
      <alignment vertical="center"/>
    </xf>
    <xf numFmtId="0" fontId="14" fillId="43" borderId="62" xfId="6" applyFont="1" applyFill="1" applyBorder="1">
      <alignment vertical="center"/>
    </xf>
    <xf numFmtId="0" fontId="14" fillId="0" borderId="60" xfId="6" applyFont="1" applyBorder="1">
      <alignment vertical="center"/>
    </xf>
    <xf numFmtId="0" fontId="14" fillId="0" borderId="61" xfId="6" applyFont="1" applyBorder="1" applyAlignment="1">
      <alignment horizontal="right" vertical="center"/>
    </xf>
    <xf numFmtId="3" fontId="14" fillId="44" borderId="61" xfId="6" applyNumberFormat="1" applyFont="1" applyFill="1" applyBorder="1">
      <alignment vertical="center"/>
    </xf>
    <xf numFmtId="0" fontId="14" fillId="0" borderId="62" xfId="6" applyFont="1" applyBorder="1">
      <alignment vertical="center"/>
    </xf>
    <xf numFmtId="0" fontId="147" fillId="0" borderId="61" xfId="6" applyFont="1" applyBorder="1" applyAlignment="1">
      <alignment horizontal="right" vertical="center"/>
    </xf>
    <xf numFmtId="0" fontId="147" fillId="0" borderId="60" xfId="6" applyFont="1" applyBorder="1">
      <alignment vertical="center"/>
    </xf>
    <xf numFmtId="0" fontId="14" fillId="36" borderId="60" xfId="6" applyFont="1" applyFill="1" applyBorder="1">
      <alignment vertical="center"/>
    </xf>
    <xf numFmtId="0" fontId="14" fillId="36" borderId="61" xfId="6" applyFont="1" applyFill="1" applyBorder="1">
      <alignment vertical="center"/>
    </xf>
    <xf numFmtId="3" fontId="14" fillId="49" borderId="61" xfId="6" applyNumberFormat="1" applyFont="1" applyFill="1" applyBorder="1">
      <alignment vertical="center"/>
    </xf>
    <xf numFmtId="0" fontId="14" fillId="36" borderId="63" xfId="6" applyFont="1" applyFill="1" applyBorder="1">
      <alignment vertical="center"/>
    </xf>
    <xf numFmtId="0" fontId="150" fillId="36" borderId="64" xfId="6" applyFont="1" applyFill="1" applyBorder="1">
      <alignment vertical="center"/>
    </xf>
    <xf numFmtId="3" fontId="14" fillId="36" borderId="64" xfId="6" applyNumberFormat="1" applyFont="1" applyFill="1" applyBorder="1">
      <alignment vertical="center"/>
    </xf>
    <xf numFmtId="0" fontId="151" fillId="0" borderId="64" xfId="6" applyFont="1" applyBorder="1">
      <alignment vertical="center"/>
    </xf>
    <xf numFmtId="0" fontId="151" fillId="0" borderId="65" xfId="6" applyFont="1" applyBorder="1">
      <alignment vertical="center"/>
    </xf>
    <xf numFmtId="0" fontId="15" fillId="0" borderId="0" xfId="6" applyFont="1">
      <alignment vertical="center"/>
    </xf>
    <xf numFmtId="170" fontId="90" fillId="0" borderId="10" xfId="6" applyNumberFormat="1" applyBorder="1" applyAlignment="1">
      <alignment horizontal="center" vertical="center"/>
    </xf>
    <xf numFmtId="170" fontId="90" fillId="0" borderId="0" xfId="6" applyNumberFormat="1" applyAlignment="1">
      <alignment horizontal="center" vertical="center"/>
    </xf>
    <xf numFmtId="0" fontId="155" fillId="4" borderId="10" xfId="6" applyFont="1" applyFill="1" applyBorder="1" applyAlignment="1">
      <alignment horizontal="center" vertical="center" wrapText="1"/>
    </xf>
    <xf numFmtId="170" fontId="72" fillId="22" borderId="10" xfId="6" applyNumberFormat="1" applyFont="1" applyFill="1" applyBorder="1" applyAlignment="1">
      <alignment horizontal="center" vertical="center"/>
    </xf>
    <xf numFmtId="0" fontId="21" fillId="15" borderId="4" xfId="2" applyFont="1" applyFill="1" applyBorder="1" applyAlignment="1">
      <alignment horizontal="center" vertical="center" wrapText="1"/>
    </xf>
    <xf numFmtId="0" fontId="21" fillId="15" borderId="4" xfId="2" applyFont="1" applyFill="1" applyBorder="1" applyAlignment="1">
      <alignment horizontal="left" vertical="center" wrapText="1"/>
    </xf>
    <xf numFmtId="0" fontId="21" fillId="8" borderId="4" xfId="2" applyFont="1" applyFill="1" applyBorder="1" applyAlignment="1" applyProtection="1">
      <alignment horizontal="center" vertical="center" wrapText="1"/>
      <protection locked="0"/>
    </xf>
    <xf numFmtId="0" fontId="23" fillId="8" borderId="4" xfId="2" applyFont="1" applyFill="1" applyBorder="1" applyAlignment="1" applyProtection="1">
      <alignment vertical="center" wrapText="1"/>
      <protection locked="0"/>
    </xf>
    <xf numFmtId="0" fontId="23" fillId="17" borderId="4" xfId="2" applyFont="1" applyFill="1" applyBorder="1" applyAlignment="1" applyProtection="1">
      <alignment horizontal="center" vertical="center" wrapText="1"/>
      <protection locked="0"/>
    </xf>
    <xf numFmtId="0" fontId="21" fillId="17" borderId="4" xfId="2" applyFont="1" applyFill="1" applyBorder="1" applyAlignment="1" applyProtection="1">
      <alignment horizontal="left" vertical="center" wrapText="1"/>
      <protection locked="0"/>
    </xf>
    <xf numFmtId="41" fontId="21" fillId="17" borderId="4" xfId="3" applyFont="1" applyFill="1" applyBorder="1" applyAlignment="1">
      <alignment horizontal="center" vertical="center" wrapText="1"/>
    </xf>
    <xf numFmtId="41" fontId="35" fillId="17" borderId="10" xfId="3" applyFont="1" applyFill="1" applyBorder="1" applyAlignment="1">
      <alignment horizontal="right" vertical="center" wrapText="1"/>
    </xf>
    <xf numFmtId="39" fontId="90" fillId="17" borderId="10" xfId="6" applyNumberFormat="1" applyFill="1" applyBorder="1" applyAlignment="1">
      <alignment horizontal="right" vertical="center"/>
    </xf>
    <xf numFmtId="41" fontId="21" fillId="17" borderId="10" xfId="3" applyFont="1" applyFill="1" applyBorder="1" applyAlignment="1">
      <alignment horizontal="center" vertical="center" wrapText="1"/>
    </xf>
    <xf numFmtId="0" fontId="21" fillId="16" borderId="10" xfId="2" applyFont="1" applyFill="1" applyBorder="1" applyAlignment="1">
      <alignment horizontal="left" vertical="center" wrapText="1"/>
    </xf>
    <xf numFmtId="3" fontId="122" fillId="34" borderId="10" xfId="6" applyNumberFormat="1" applyFont="1" applyFill="1" applyBorder="1" applyAlignment="1">
      <alignment vertical="center" wrapText="1"/>
    </xf>
    <xf numFmtId="3" fontId="122" fillId="34" borderId="16" xfId="6" applyNumberFormat="1" applyFont="1" applyFill="1" applyBorder="1" applyAlignment="1">
      <alignment vertical="center" wrapText="1"/>
    </xf>
    <xf numFmtId="170" fontId="21" fillId="16" borderId="10" xfId="3" applyNumberFormat="1" applyFont="1" applyFill="1" applyBorder="1" applyAlignment="1">
      <alignment horizontal="center" vertical="center" wrapText="1"/>
    </xf>
    <xf numFmtId="170" fontId="90" fillId="3" borderId="0" xfId="6" applyNumberFormat="1" applyFill="1" applyAlignment="1">
      <alignment horizontal="center" vertical="center"/>
    </xf>
    <xf numFmtId="0" fontId="23" fillId="50" borderId="2" xfId="2" applyFont="1" applyFill="1" applyBorder="1" applyAlignment="1" applyProtection="1">
      <alignment horizontal="center" vertical="center" wrapText="1"/>
      <protection locked="0"/>
    </xf>
    <xf numFmtId="0" fontId="21" fillId="50" borderId="2" xfId="2" applyFont="1" applyFill="1" applyBorder="1" applyAlignment="1">
      <alignment horizontal="left" vertical="center" wrapText="1"/>
    </xf>
    <xf numFmtId="41" fontId="21" fillId="50" borderId="2" xfId="3" applyFont="1" applyFill="1" applyBorder="1" applyAlignment="1">
      <alignment horizontal="center" vertical="center" wrapText="1"/>
    </xf>
    <xf numFmtId="41" fontId="35" fillId="50" borderId="10" xfId="3" applyFont="1" applyFill="1" applyBorder="1" applyAlignment="1">
      <alignment horizontal="right" vertical="center" wrapText="1"/>
    </xf>
    <xf numFmtId="39" fontId="90" fillId="50" borderId="10" xfId="6" applyNumberFormat="1" applyFill="1" applyBorder="1" applyAlignment="1">
      <alignment horizontal="right" vertical="center"/>
    </xf>
    <xf numFmtId="41" fontId="21" fillId="50" borderId="10" xfId="3" applyFont="1" applyFill="1" applyBorder="1" applyAlignment="1">
      <alignment horizontal="center" vertical="center" wrapText="1"/>
    </xf>
    <xf numFmtId="3" fontId="122" fillId="34" borderId="15" xfId="6" applyNumberFormat="1" applyFont="1" applyFill="1" applyBorder="1" applyAlignment="1">
      <alignment vertical="center" wrapText="1"/>
    </xf>
    <xf numFmtId="3" fontId="122" fillId="34" borderId="36" xfId="6" applyNumberFormat="1" applyFont="1" applyFill="1" applyBorder="1" applyAlignment="1">
      <alignment vertical="center" wrapText="1"/>
    </xf>
    <xf numFmtId="3" fontId="150" fillId="3" borderId="66" xfId="6" applyNumberFormat="1" applyFont="1" applyFill="1" applyBorder="1">
      <alignment vertical="center"/>
    </xf>
    <xf numFmtId="0" fontId="29" fillId="3" borderId="10" xfId="2" applyFont="1" applyFill="1" applyBorder="1" applyAlignment="1">
      <alignment horizontal="left" vertical="center" wrapText="1"/>
    </xf>
    <xf numFmtId="41" fontId="158" fillId="3" borderId="10" xfId="3" applyFont="1" applyFill="1" applyBorder="1" applyAlignment="1">
      <alignment horizontal="center" vertical="center" wrapText="1"/>
    </xf>
    <xf numFmtId="170" fontId="159" fillId="3" borderId="10" xfId="6" applyNumberFormat="1" applyFont="1" applyFill="1" applyBorder="1" applyAlignment="1">
      <alignment horizontal="center" vertical="center"/>
    </xf>
    <xf numFmtId="0" fontId="21" fillId="17" borderId="4" xfId="2" applyFont="1" applyFill="1" applyBorder="1" applyAlignment="1" applyProtection="1">
      <alignment vertical="center" wrapText="1"/>
      <protection locked="0"/>
    </xf>
    <xf numFmtId="41" fontId="160" fillId="17" borderId="4" xfId="3" applyFont="1" applyFill="1" applyBorder="1" applyAlignment="1">
      <alignment horizontal="center" vertical="center" wrapText="1"/>
    </xf>
    <xf numFmtId="41" fontId="29" fillId="3" borderId="10" xfId="3" applyFont="1" applyFill="1" applyBorder="1" applyAlignment="1">
      <alignment horizontal="center" vertical="center" wrapText="1"/>
    </xf>
    <xf numFmtId="170" fontId="90" fillId="3" borderId="10" xfId="6" applyNumberFormat="1" applyFill="1" applyBorder="1" applyAlignment="1">
      <alignment horizontal="center" vertical="center"/>
    </xf>
    <xf numFmtId="0" fontId="21" fillId="50" borderId="2" xfId="2" applyFont="1" applyFill="1" applyBorder="1" applyAlignment="1" applyProtection="1">
      <alignment horizontal="left" vertical="center" wrapText="1"/>
      <protection locked="0"/>
    </xf>
    <xf numFmtId="39" fontId="35" fillId="50" borderId="10" xfId="3" applyNumberFormat="1" applyFont="1" applyFill="1" applyBorder="1" applyAlignment="1">
      <alignment horizontal="right" vertical="center" wrapText="1"/>
    </xf>
    <xf numFmtId="0" fontId="21" fillId="51" borderId="4" xfId="2" applyFont="1" applyFill="1" applyBorder="1" applyAlignment="1">
      <alignment horizontal="center" vertical="center" wrapText="1"/>
    </xf>
    <xf numFmtId="0" fontId="21" fillId="51" borderId="4" xfId="2" applyFont="1" applyFill="1" applyBorder="1" applyAlignment="1">
      <alignment horizontal="left" vertical="center" wrapText="1"/>
    </xf>
    <xf numFmtId="0" fontId="21" fillId="51" borderId="4" xfId="2" applyFont="1" applyFill="1" applyBorder="1" applyAlignment="1" applyProtection="1">
      <alignment horizontal="center" vertical="center" wrapText="1"/>
      <protection locked="0"/>
    </xf>
    <xf numFmtId="0" fontId="23" fillId="51" borderId="4" xfId="2" applyFont="1" applyFill="1" applyBorder="1" applyAlignment="1" applyProtection="1">
      <alignment vertical="center" wrapText="1"/>
      <protection locked="0"/>
    </xf>
    <xf numFmtId="0" fontId="23" fillId="14" borderId="4" xfId="2" applyFont="1" applyFill="1" applyBorder="1" applyAlignment="1" applyProtection="1">
      <alignment horizontal="center" vertical="center" wrapText="1"/>
      <protection locked="0"/>
    </xf>
    <xf numFmtId="0" fontId="28" fillId="14" borderId="4" xfId="2" applyFont="1" applyFill="1" applyBorder="1" applyAlignment="1" applyProtection="1">
      <alignment horizontal="left" vertical="center" wrapText="1"/>
      <protection locked="0"/>
    </xf>
    <xf numFmtId="41" fontId="21" fillId="14" borderId="4" xfId="3" applyFont="1" applyFill="1" applyBorder="1" applyAlignment="1">
      <alignment horizontal="center" vertical="center" wrapText="1"/>
    </xf>
    <xf numFmtId="0" fontId="90" fillId="14" borderId="10" xfId="6" applyFill="1" applyBorder="1" applyAlignment="1">
      <alignment horizontal="center" vertical="center"/>
    </xf>
    <xf numFmtId="39" fontId="90" fillId="14" borderId="10" xfId="6" applyNumberFormat="1" applyFill="1" applyBorder="1" applyAlignment="1">
      <alignment horizontal="right" vertical="center"/>
    </xf>
    <xf numFmtId="41" fontId="21" fillId="14" borderId="10" xfId="3" applyFont="1" applyFill="1" applyBorder="1" applyAlignment="1">
      <alignment horizontal="center" vertical="center" wrapText="1"/>
    </xf>
    <xf numFmtId="0" fontId="29" fillId="0" borderId="10" xfId="2" applyFont="1" applyBorder="1" applyAlignment="1">
      <alignment horizontal="left" vertical="center" wrapText="1"/>
    </xf>
    <xf numFmtId="41" fontId="158" fillId="0" borderId="10" xfId="3" applyFont="1" applyFill="1" applyBorder="1" applyAlignment="1">
      <alignment horizontal="center" vertical="center" wrapText="1"/>
    </xf>
    <xf numFmtId="170" fontId="159" fillId="0" borderId="10" xfId="6" applyNumberFormat="1" applyFont="1" applyBorder="1" applyAlignment="1">
      <alignment horizontal="center" vertical="center"/>
    </xf>
    <xf numFmtId="0" fontId="21" fillId="8" borderId="2" xfId="2" applyFont="1" applyFill="1" applyBorder="1" applyAlignment="1" applyProtection="1">
      <alignment horizontal="center" vertical="center" wrapText="1"/>
      <protection locked="0"/>
    </xf>
    <xf numFmtId="0" fontId="23" fillId="8" borderId="2" xfId="2" applyFont="1" applyFill="1" applyBorder="1" applyAlignment="1" applyProtection="1">
      <alignment vertical="center" wrapText="1"/>
      <protection locked="0"/>
    </xf>
    <xf numFmtId="0" fontId="23" fillId="13" borderId="2" xfId="2" applyFont="1" applyFill="1" applyBorder="1" applyAlignment="1" applyProtection="1">
      <alignment horizontal="center" vertical="center" wrapText="1"/>
      <protection locked="0"/>
    </xf>
    <xf numFmtId="0" fontId="21" fillId="13" borderId="2" xfId="2" applyFont="1" applyFill="1" applyBorder="1" applyAlignment="1" applyProtection="1">
      <alignment horizontal="left" vertical="center" wrapText="1"/>
      <protection locked="0"/>
    </xf>
    <xf numFmtId="41" fontId="21" fillId="13" borderId="2" xfId="3" applyFont="1" applyFill="1" applyBorder="1" applyAlignment="1">
      <alignment horizontal="center" vertical="center" wrapText="1"/>
    </xf>
    <xf numFmtId="0" fontId="90" fillId="13" borderId="10" xfId="6" applyFill="1" applyBorder="1" applyAlignment="1">
      <alignment horizontal="right" vertical="center"/>
    </xf>
    <xf numFmtId="39" fontId="90" fillId="13" borderId="10" xfId="6" applyNumberFormat="1" applyFill="1" applyBorder="1" applyAlignment="1">
      <alignment horizontal="right" vertical="center"/>
    </xf>
    <xf numFmtId="41" fontId="21" fillId="13" borderId="10" xfId="3" applyFont="1" applyFill="1" applyBorder="1" applyAlignment="1">
      <alignment horizontal="center" vertical="center" wrapText="1"/>
    </xf>
    <xf numFmtId="0" fontId="21" fillId="14" borderId="10" xfId="2" applyFont="1" applyFill="1" applyBorder="1" applyAlignment="1">
      <alignment horizontal="left" vertical="center" wrapText="1"/>
    </xf>
    <xf numFmtId="39" fontId="28" fillId="14" borderId="10" xfId="3" applyNumberFormat="1" applyFont="1" applyFill="1" applyBorder="1" applyAlignment="1">
      <alignment horizontal="right" vertical="center" wrapText="1"/>
    </xf>
    <xf numFmtId="170" fontId="21" fillId="14" borderId="10" xfId="3" applyNumberFormat="1" applyFont="1" applyFill="1" applyBorder="1" applyAlignment="1">
      <alignment horizontal="center" vertical="center" wrapText="1"/>
    </xf>
    <xf numFmtId="0" fontId="90" fillId="50" borderId="10" xfId="6" applyFill="1" applyBorder="1" applyAlignment="1">
      <alignment horizontal="right" vertical="center"/>
    </xf>
    <xf numFmtId="0" fontId="21" fillId="52" borderId="2" xfId="2" applyFont="1" applyFill="1" applyBorder="1" applyAlignment="1" applyProtection="1">
      <alignment horizontal="center" vertical="center" wrapText="1"/>
      <protection locked="0"/>
    </xf>
    <xf numFmtId="0" fontId="23" fillId="52" borderId="2" xfId="2" applyFont="1" applyFill="1" applyBorder="1" applyAlignment="1" applyProtection="1">
      <alignment vertical="center" wrapText="1"/>
      <protection locked="0"/>
    </xf>
    <xf numFmtId="0" fontId="23" fillId="52" borderId="2" xfId="2" applyFont="1" applyFill="1" applyBorder="1" applyAlignment="1" applyProtection="1">
      <alignment horizontal="center" vertical="center" wrapText="1"/>
      <protection locked="0"/>
    </xf>
    <xf numFmtId="0" fontId="21" fillId="52" borderId="2" xfId="2" applyFont="1" applyFill="1" applyBorder="1" applyAlignment="1">
      <alignment horizontal="left" vertical="center" wrapText="1"/>
    </xf>
    <xf numFmtId="41" fontId="21" fillId="52" borderId="2" xfId="3" applyFont="1" applyFill="1" applyBorder="1" applyAlignment="1">
      <alignment horizontal="center" vertical="center" wrapText="1"/>
    </xf>
    <xf numFmtId="0" fontId="90" fillId="52" borderId="10" xfId="6" applyFill="1" applyBorder="1" applyAlignment="1">
      <alignment horizontal="center" vertical="center"/>
    </xf>
    <xf numFmtId="39" fontId="90" fillId="52" borderId="10" xfId="6" applyNumberFormat="1" applyFill="1" applyBorder="1" applyAlignment="1">
      <alignment horizontal="center" vertical="center"/>
    </xf>
    <xf numFmtId="41" fontId="21" fillId="52" borderId="10" xfId="3" applyFont="1" applyFill="1" applyBorder="1" applyAlignment="1">
      <alignment horizontal="center" vertical="center" wrapText="1"/>
    </xf>
    <xf numFmtId="0" fontId="21" fillId="52" borderId="10" xfId="2" applyFont="1" applyFill="1" applyBorder="1" applyAlignment="1">
      <alignment horizontal="left" vertical="center" wrapText="1"/>
    </xf>
    <xf numFmtId="39" fontId="28" fillId="52" borderId="10" xfId="3" applyNumberFormat="1" applyFont="1" applyFill="1" applyBorder="1" applyAlignment="1">
      <alignment horizontal="right" vertical="center" wrapText="1"/>
    </xf>
    <xf numFmtId="170" fontId="90" fillId="52" borderId="10" xfId="6" applyNumberFormat="1" applyFill="1" applyBorder="1" applyAlignment="1">
      <alignment horizontal="center" vertical="center"/>
    </xf>
    <xf numFmtId="0" fontId="23" fillId="14" borderId="2" xfId="2" applyFont="1" applyFill="1" applyBorder="1" applyAlignment="1" applyProtection="1">
      <alignment horizontal="center" vertical="center" wrapText="1"/>
      <protection locked="0"/>
    </xf>
    <xf numFmtId="0" fontId="21" fillId="14" borderId="2" xfId="2" applyFont="1" applyFill="1" applyBorder="1" applyAlignment="1">
      <alignment horizontal="left" vertical="center" wrapText="1"/>
    </xf>
    <xf numFmtId="41" fontId="21" fillId="14" borderId="3" xfId="3" applyFont="1" applyFill="1" applyBorder="1" applyAlignment="1">
      <alignment horizontal="center" vertical="center" wrapText="1"/>
    </xf>
    <xf numFmtId="0" fontId="90" fillId="14" borderId="12" xfId="6" applyFill="1" applyBorder="1" applyAlignment="1">
      <alignment horizontal="right" vertical="center"/>
    </xf>
    <xf numFmtId="39" fontId="90" fillId="14" borderId="12" xfId="6" applyNumberFormat="1" applyFill="1" applyBorder="1" applyAlignment="1">
      <alignment horizontal="right" vertical="center"/>
    </xf>
    <xf numFmtId="41" fontId="21" fillId="14" borderId="12" xfId="3" applyFont="1" applyFill="1" applyBorder="1" applyAlignment="1">
      <alignment horizontal="center" vertical="center" wrapText="1"/>
    </xf>
    <xf numFmtId="0" fontId="29" fillId="14" borderId="21" xfId="2" applyFont="1" applyFill="1" applyBorder="1" applyAlignment="1">
      <alignment horizontal="left" vertical="center" wrapText="1"/>
    </xf>
    <xf numFmtId="0" fontId="90" fillId="14" borderId="10" xfId="6" applyFill="1" applyBorder="1" applyAlignment="1">
      <alignment horizontal="right" vertical="center"/>
    </xf>
    <xf numFmtId="170" fontId="105" fillId="3" borderId="10" xfId="6" applyNumberFormat="1" applyFont="1" applyFill="1" applyBorder="1" applyAlignment="1">
      <alignment horizontal="center" vertical="center"/>
    </xf>
    <xf numFmtId="0" fontId="21" fillId="51" borderId="2" xfId="2" applyFont="1" applyFill="1" applyBorder="1" applyAlignment="1">
      <alignment horizontal="center" vertical="center" wrapText="1"/>
    </xf>
    <xf numFmtId="0" fontId="21" fillId="51" borderId="2" xfId="2" applyFont="1" applyFill="1" applyBorder="1" applyAlignment="1">
      <alignment horizontal="left" vertical="center" wrapText="1"/>
    </xf>
    <xf numFmtId="0" fontId="21" fillId="3" borderId="2" xfId="2" applyFont="1" applyFill="1" applyBorder="1" applyAlignment="1">
      <alignment horizontal="center" vertical="center" wrapText="1"/>
    </xf>
    <xf numFmtId="0" fontId="23" fillId="3" borderId="2" xfId="2" applyFont="1" applyFill="1" applyBorder="1" applyAlignment="1">
      <alignment vertical="center" wrapText="1"/>
    </xf>
    <xf numFmtId="0" fontId="21" fillId="13" borderId="2" xfId="2" applyFont="1" applyFill="1" applyBorder="1" applyAlignment="1">
      <alignment horizontal="left" vertical="center" wrapText="1"/>
    </xf>
    <xf numFmtId="41" fontId="21" fillId="13" borderId="4" xfId="3" applyFont="1" applyFill="1" applyBorder="1" applyAlignment="1">
      <alignment horizontal="center" vertical="center" wrapText="1"/>
    </xf>
    <xf numFmtId="0" fontId="90" fillId="13" borderId="15" xfId="6" applyFill="1" applyBorder="1" applyAlignment="1">
      <alignment horizontal="right" vertical="center"/>
    </xf>
    <xf numFmtId="39" fontId="90" fillId="13" borderId="15" xfId="6" applyNumberFormat="1" applyFill="1" applyBorder="1" applyAlignment="1">
      <alignment horizontal="right" vertical="center"/>
    </xf>
    <xf numFmtId="41" fontId="21" fillId="13" borderId="15" xfId="3" applyFont="1" applyFill="1" applyBorder="1" applyAlignment="1">
      <alignment horizontal="center" vertical="center" wrapText="1"/>
    </xf>
    <xf numFmtId="41" fontId="21" fillId="14" borderId="10" xfId="3" applyFont="1" applyFill="1" applyBorder="1" applyAlignment="1">
      <alignment horizontal="left" vertical="center" wrapText="1"/>
    </xf>
    <xf numFmtId="0" fontId="23" fillId="51" borderId="2" xfId="2" applyFont="1" applyFill="1" applyBorder="1" applyAlignment="1">
      <alignment vertical="center" wrapText="1"/>
    </xf>
    <xf numFmtId="0" fontId="28" fillId="13" borderId="2" xfId="2" applyFont="1" applyFill="1" applyBorder="1" applyAlignment="1" applyProtection="1">
      <alignment horizontal="left" vertical="center" wrapText="1"/>
      <protection locked="0"/>
    </xf>
    <xf numFmtId="0" fontId="21" fillId="50" borderId="10" xfId="2" applyFont="1" applyFill="1" applyBorder="1" applyAlignment="1">
      <alignment horizontal="left" vertical="center" wrapText="1"/>
    </xf>
    <xf numFmtId="39" fontId="28" fillId="50" borderId="10" xfId="3" applyNumberFormat="1" applyFont="1" applyFill="1" applyBorder="1" applyAlignment="1">
      <alignment horizontal="right" vertical="center" wrapText="1"/>
    </xf>
    <xf numFmtId="170" fontId="127" fillId="50" borderId="10" xfId="6" applyNumberFormat="1" applyFont="1" applyFill="1" applyBorder="1" applyAlignment="1">
      <alignment horizontal="center" vertical="center"/>
    </xf>
    <xf numFmtId="0" fontId="21" fillId="8" borderId="2" xfId="2" applyFont="1" applyFill="1" applyBorder="1" applyAlignment="1">
      <alignment horizontal="center" vertical="center" wrapText="1"/>
    </xf>
    <xf numFmtId="0" fontId="23" fillId="8" borderId="2" xfId="2" applyFont="1" applyFill="1" applyBorder="1" applyAlignment="1">
      <alignment vertical="center" wrapText="1"/>
    </xf>
    <xf numFmtId="0" fontId="23" fillId="14" borderId="3" xfId="2" applyFont="1" applyFill="1" applyBorder="1" applyAlignment="1" applyProtection="1">
      <alignment horizontal="center" vertical="center" wrapText="1"/>
      <protection locked="0"/>
    </xf>
    <xf numFmtId="0" fontId="21" fillId="14" borderId="3" xfId="2" applyFont="1" applyFill="1" applyBorder="1" applyAlignment="1">
      <alignment horizontal="left" vertical="center" wrapText="1"/>
    </xf>
    <xf numFmtId="0" fontId="23" fillId="3" borderId="9" xfId="2" applyFont="1" applyFill="1" applyBorder="1" applyAlignment="1">
      <alignment vertical="center" wrapText="1"/>
    </xf>
    <xf numFmtId="0" fontId="23" fillId="3" borderId="10" xfId="2" applyFont="1" applyFill="1" applyBorder="1" applyAlignment="1" applyProtection="1">
      <alignment horizontal="center" vertical="center" wrapText="1"/>
      <protection locked="0"/>
    </xf>
    <xf numFmtId="0" fontId="21" fillId="3" borderId="10" xfId="2" applyFont="1" applyFill="1" applyBorder="1" applyAlignment="1">
      <alignment horizontal="left" vertical="center" wrapText="1"/>
    </xf>
    <xf numFmtId="0" fontId="90" fillId="51" borderId="10" xfId="6" applyFill="1" applyBorder="1" applyAlignment="1">
      <alignment horizontal="right" vertical="center"/>
    </xf>
    <xf numFmtId="39" fontId="90" fillId="51" borderId="10" xfId="6" applyNumberFormat="1" applyFill="1" applyBorder="1" applyAlignment="1">
      <alignment horizontal="right" vertical="center"/>
    </xf>
    <xf numFmtId="170" fontId="161" fillId="0" borderId="0" xfId="6" applyNumberFormat="1" applyFont="1" applyAlignment="1">
      <alignment horizontal="center" vertical="center"/>
    </xf>
    <xf numFmtId="0" fontId="23" fillId="50" borderId="10" xfId="2" applyFont="1" applyFill="1" applyBorder="1" applyAlignment="1" applyProtection="1">
      <alignment horizontal="center" vertical="center" wrapText="1"/>
      <protection locked="0"/>
    </xf>
    <xf numFmtId="3" fontId="150" fillId="3" borderId="67" xfId="6" applyNumberFormat="1" applyFont="1" applyFill="1" applyBorder="1">
      <alignment vertical="center"/>
    </xf>
    <xf numFmtId="0" fontId="21" fillId="3" borderId="21" xfId="2" applyFont="1" applyFill="1" applyBorder="1" applyAlignment="1">
      <alignment horizontal="center" vertical="center" wrapText="1"/>
    </xf>
    <xf numFmtId="0" fontId="23" fillId="3" borderId="10" xfId="2" applyFont="1" applyFill="1" applyBorder="1" applyAlignment="1">
      <alignment vertical="center" wrapText="1"/>
    </xf>
    <xf numFmtId="0" fontId="23" fillId="8" borderId="20" xfId="2" applyFont="1" applyFill="1" applyBorder="1" applyAlignment="1">
      <alignment vertical="center" wrapText="1"/>
    </xf>
    <xf numFmtId="0" fontId="23" fillId="13" borderId="10" xfId="2" applyFont="1" applyFill="1" applyBorder="1" applyAlignment="1" applyProtection="1">
      <alignment horizontal="center" vertical="center" wrapText="1"/>
      <protection locked="0"/>
    </xf>
    <xf numFmtId="0" fontId="21" fillId="13" borderId="10" xfId="2" applyFont="1" applyFill="1" applyBorder="1" applyAlignment="1">
      <alignment horizontal="left" vertical="center" wrapText="1"/>
    </xf>
    <xf numFmtId="0" fontId="90" fillId="13" borderId="12" xfId="6" applyFill="1" applyBorder="1" applyAlignment="1">
      <alignment horizontal="right" vertical="center"/>
    </xf>
    <xf numFmtId="39" fontId="90" fillId="13" borderId="12" xfId="6" applyNumberFormat="1" applyFill="1" applyBorder="1" applyAlignment="1">
      <alignment horizontal="right" vertical="center"/>
    </xf>
    <xf numFmtId="41" fontId="21" fillId="50" borderId="21" xfId="3" applyFont="1" applyFill="1" applyBorder="1" applyAlignment="1">
      <alignment horizontal="center" vertical="center" wrapText="1"/>
    </xf>
    <xf numFmtId="0" fontId="90" fillId="50" borderId="54" xfId="6" applyFill="1" applyBorder="1" applyAlignment="1">
      <alignment horizontal="right" vertical="center"/>
    </xf>
    <xf numFmtId="39" fontId="90" fillId="50" borderId="54" xfId="6" applyNumberFormat="1" applyFill="1" applyBorder="1" applyAlignment="1">
      <alignment horizontal="right" vertical="center"/>
    </xf>
    <xf numFmtId="41" fontId="21" fillId="50" borderId="16" xfId="3" applyFont="1" applyFill="1" applyBorder="1" applyAlignment="1">
      <alignment horizontal="center" vertical="center" wrapText="1"/>
    </xf>
    <xf numFmtId="0" fontId="162" fillId="50" borderId="2" xfId="2" applyFont="1" applyFill="1" applyBorder="1" applyAlignment="1" applyProtection="1">
      <alignment horizontal="center" vertical="center" wrapText="1"/>
      <protection locked="0"/>
    </xf>
    <xf numFmtId="0" fontId="163" fillId="50" borderId="2" xfId="2" applyFont="1" applyFill="1" applyBorder="1" applyAlignment="1">
      <alignment horizontal="left" vertical="center" wrapText="1"/>
    </xf>
    <xf numFmtId="41" fontId="163" fillId="50" borderId="21" xfId="3" applyFont="1" applyFill="1" applyBorder="1" applyAlignment="1">
      <alignment horizontal="center" vertical="center" wrapText="1"/>
    </xf>
    <xf numFmtId="41" fontId="163" fillId="50" borderId="16" xfId="3" applyFont="1" applyFill="1" applyBorder="1" applyAlignment="1">
      <alignment horizontal="center" vertical="center" wrapText="1"/>
    </xf>
    <xf numFmtId="0" fontId="21" fillId="15" borderId="25" xfId="2" applyFont="1" applyFill="1" applyBorder="1" applyAlignment="1">
      <alignment horizontal="center" vertical="center" wrapText="1"/>
    </xf>
    <xf numFmtId="0" fontId="21" fillId="15" borderId="25" xfId="2" applyFont="1" applyFill="1" applyBorder="1" applyAlignment="1">
      <alignment horizontal="left" vertical="center" wrapText="1"/>
    </xf>
    <xf numFmtId="0" fontId="21" fillId="7" borderId="3" xfId="2" applyFont="1" applyFill="1" applyBorder="1" applyAlignment="1">
      <alignment horizontal="center" vertical="center" wrapText="1"/>
    </xf>
    <xf numFmtId="0" fontId="21" fillId="7" borderId="3" xfId="2" applyFont="1" applyFill="1" applyBorder="1" applyAlignment="1">
      <alignment horizontal="left" vertical="center" wrapText="1"/>
    </xf>
    <xf numFmtId="0" fontId="21" fillId="8" borderId="3" xfId="2" applyFont="1" applyFill="1" applyBorder="1" applyAlignment="1">
      <alignment horizontal="center" vertical="center" wrapText="1"/>
    </xf>
    <xf numFmtId="0" fontId="23" fillId="8" borderId="9" xfId="2" applyFont="1" applyFill="1" applyBorder="1" applyAlignment="1">
      <alignment vertical="center" wrapText="1"/>
    </xf>
    <xf numFmtId="0" fontId="23" fillId="51" borderId="10" xfId="2" applyFont="1" applyFill="1" applyBorder="1" applyAlignment="1" applyProtection="1">
      <alignment horizontal="center" vertical="center" wrapText="1"/>
      <protection locked="0"/>
    </xf>
    <xf numFmtId="0" fontId="21" fillId="51" borderId="10" xfId="2" applyFont="1" applyFill="1" applyBorder="1" applyAlignment="1">
      <alignment horizontal="left" vertical="center" wrapText="1"/>
    </xf>
    <xf numFmtId="41" fontId="160" fillId="51" borderId="10" xfId="3" applyFont="1" applyFill="1" applyBorder="1" applyAlignment="1">
      <alignment horizontal="center" vertical="center" wrapText="1"/>
    </xf>
    <xf numFmtId="0" fontId="90" fillId="51" borderId="15" xfId="6" applyFill="1" applyBorder="1" applyAlignment="1">
      <alignment horizontal="right" vertical="center"/>
    </xf>
    <xf numFmtId="39" fontId="90" fillId="51" borderId="15" xfId="6" applyNumberFormat="1" applyFill="1" applyBorder="1" applyAlignment="1">
      <alignment horizontal="right" vertical="center"/>
    </xf>
    <xf numFmtId="41" fontId="21" fillId="51" borderId="10" xfId="3" applyFont="1" applyFill="1" applyBorder="1" applyAlignment="1">
      <alignment horizontal="center" vertical="center" wrapText="1"/>
    </xf>
    <xf numFmtId="41" fontId="105" fillId="0" borderId="10" xfId="6" applyNumberFormat="1" applyFont="1" applyBorder="1" applyAlignment="1">
      <alignment horizontal="center" vertical="center"/>
    </xf>
    <xf numFmtId="41" fontId="90" fillId="0" borderId="68" xfId="6" applyNumberFormat="1" applyBorder="1" applyAlignment="1">
      <alignment horizontal="center" vertical="center"/>
    </xf>
    <xf numFmtId="3" fontId="100" fillId="0" borderId="0" xfId="6" applyNumberFormat="1" applyFont="1">
      <alignment vertical="center"/>
    </xf>
    <xf numFmtId="170" fontId="164" fillId="53" borderId="10" xfId="6" applyNumberFormat="1" applyFont="1" applyFill="1" applyBorder="1" applyAlignment="1">
      <alignment vertical="center" wrapText="1"/>
    </xf>
    <xf numFmtId="0" fontId="147" fillId="0" borderId="7" xfId="6" applyFont="1" applyBorder="1">
      <alignment vertical="center"/>
    </xf>
    <xf numFmtId="170" fontId="165" fillId="0" borderId="69" xfId="6" applyNumberFormat="1" applyFont="1" applyBorder="1">
      <alignment vertical="center"/>
    </xf>
    <xf numFmtId="41" fontId="90" fillId="0" borderId="0" xfId="6" applyNumberFormat="1" applyAlignment="1">
      <alignment horizontal="right" vertical="center"/>
    </xf>
    <xf numFmtId="0" fontId="105" fillId="0" borderId="70" xfId="6" applyFont="1" applyBorder="1" applyAlignment="1">
      <alignment horizontal="left" vertical="center"/>
    </xf>
    <xf numFmtId="41" fontId="105" fillId="0" borderId="71" xfId="6" applyNumberFormat="1" applyFont="1" applyBorder="1" applyAlignment="1">
      <alignment horizontal="center" vertical="center"/>
    </xf>
    <xf numFmtId="3" fontId="90" fillId="0" borderId="0" xfId="6" applyNumberFormat="1" applyAlignment="1">
      <alignment horizontal="center" vertical="center"/>
    </xf>
    <xf numFmtId="0" fontId="105" fillId="0" borderId="72" xfId="6" applyFont="1" applyBorder="1" applyAlignment="1">
      <alignment horizontal="left" vertical="center"/>
    </xf>
    <xf numFmtId="41" fontId="105" fillId="0" borderId="73" xfId="6" applyNumberFormat="1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vertical="center" wrapText="1"/>
    </xf>
    <xf numFmtId="41" fontId="21" fillId="0" borderId="21" xfId="1" applyFont="1" applyFill="1" applyBorder="1" applyAlignment="1">
      <alignment horizontal="right" vertical="center" wrapText="1"/>
    </xf>
    <xf numFmtId="41" fontId="21" fillId="0" borderId="10" xfId="1" applyFont="1" applyFill="1" applyBorder="1" applyAlignment="1">
      <alignment horizontal="right" vertical="center" wrapText="1"/>
    </xf>
    <xf numFmtId="9" fontId="21" fillId="0" borderId="10" xfId="4" applyFont="1" applyFill="1" applyBorder="1" applyAlignment="1">
      <alignment horizontal="right" vertical="center" wrapText="1"/>
    </xf>
    <xf numFmtId="41" fontId="35" fillId="0" borderId="11" xfId="1" applyFont="1" applyFill="1" applyBorder="1" applyAlignment="1">
      <alignment horizontal="center" vertical="center" wrapText="1"/>
    </xf>
    <xf numFmtId="0" fontId="78" fillId="3" borderId="31" xfId="0" applyFont="1" applyFill="1" applyBorder="1" applyAlignment="1">
      <alignment horizontal="center" vertical="center" wrapText="1"/>
    </xf>
    <xf numFmtId="0" fontId="77" fillId="3" borderId="2" xfId="0" applyFont="1" applyFill="1" applyBorder="1" applyAlignment="1">
      <alignment vertical="center" wrapText="1"/>
    </xf>
    <xf numFmtId="0" fontId="77" fillId="3" borderId="2" xfId="0" applyFont="1" applyFill="1" applyBorder="1" applyAlignment="1">
      <alignment horizontal="center" vertical="center" wrapText="1"/>
    </xf>
    <xf numFmtId="0" fontId="166" fillId="3" borderId="2" xfId="0" applyFont="1" applyFill="1" applyBorder="1" applyAlignment="1">
      <alignment horizontal="left" vertical="center" wrapText="1"/>
    </xf>
    <xf numFmtId="41" fontId="63" fillId="3" borderId="2" xfId="1" applyFont="1" applyFill="1" applyBorder="1" applyAlignment="1">
      <alignment horizontal="right" vertical="center" wrapText="1"/>
    </xf>
    <xf numFmtId="41" fontId="63" fillId="3" borderId="11" xfId="1" applyFont="1" applyFill="1" applyBorder="1" applyAlignment="1">
      <alignment horizontal="center" vertical="center" wrapText="1"/>
    </xf>
    <xf numFmtId="41" fontId="21" fillId="0" borderId="10" xfId="0" applyNumberFormat="1" applyFont="1" applyBorder="1" applyAlignment="1">
      <alignment horizontal="center" vertical="center"/>
    </xf>
  </cellXfs>
  <cellStyles count="8">
    <cellStyle name="Bad 2" xfId="5" xr:uid="{ADBBEE43-7A4D-6647-A4BF-D84E4A439830}"/>
    <cellStyle name="Comma [0]" xfId="1" builtinId="6"/>
    <cellStyle name="Comma [0] 2" xfId="7" xr:uid="{53E14471-7F41-7240-A522-0A2291C77B97}"/>
    <cellStyle name="Normal" xfId="0" builtinId="0"/>
    <cellStyle name="Normal 2" xfId="6" xr:uid="{47DC1228-25D1-1A43-AB00-FCC3432D80AE}"/>
    <cellStyle name="Percent" xfId="4" builtinId="5"/>
    <cellStyle name="쉼표 [0] 2" xfId="3" xr:uid="{B380285B-F2B3-48C7-ADF7-4440AE582494}"/>
    <cellStyle name="표준 2" xfId="2" xr:uid="{FEAD46E9-0716-47EA-B54A-302BB3965286}"/>
  </cellStyles>
  <dxfs count="195"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World돋움체 Medium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numFmt numFmtId="33" formatCode="_(* #,##0_);_(* \(#,##0\);_(* &quot;-&quot;_);_(@_)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numFmt numFmtId="33" formatCode="_(* #,##0_);_(* \(#,##0\);_(* &quot;-&quot;_);_(@_)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World돋움체 Medium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World돋움체 Medium"/>
        <family val="3"/>
        <charset val="129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World돋움체 Medium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World돋움체 Medium"/>
        <family val="3"/>
        <charset val="129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World돋움체 Medium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World돋움체 Medium"/>
        <family val="3"/>
        <charset val="129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World돋움체 Medium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_Pro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_Pro Medium"/>
        <scheme val="none"/>
      </font>
      <fill>
        <patternFill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Dotum Medium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>
        <bottom style="thin">
          <color rgb="FFF2F2F2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7" formatCode="#,##0.00_);\(#,##0.00\)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3" tint="0.3999755851924192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charset val="129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family val="3"/>
        <charset val="129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</dxf>
    <dxf>
      <border>
        <bottom style="thin">
          <color rgb="FFF2F2F2"/>
        </bottom>
      </border>
    </dxf>
    <dxf>
      <border outline="0">
        <top style="thin">
          <color rgb="FF000000"/>
        </top>
        <bottom style="thin">
          <color rgb="FF595959"/>
        </bottom>
      </border>
    </dxf>
    <dxf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2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none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7" formatCode="#,##0.00_);\(#,##0.00\)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3" tint="0.3999755851924192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charset val="129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family val="3"/>
        <charset val="129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/>
        <bottom style="thin">
          <color theme="1" tint="0.34998626667073579"/>
        </bottom>
        <vertical/>
        <horizontal/>
      </border>
    </dxf>
    <dxf>
      <border>
        <bottom style="thin">
          <color rgb="FFF2F2F2"/>
        </bottom>
      </border>
    </dxf>
    <dxf>
      <border outline="0">
        <top style="thin">
          <color rgb="FF000000"/>
        </top>
        <bottom style="thin">
          <color rgb="FF595959"/>
        </bottom>
      </border>
    </dxf>
    <dxf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2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_Pro Medium"/>
        <family val="3"/>
        <charset val="129"/>
        <scheme val="none"/>
      </font>
      <numFmt numFmtId="33" formatCode="_(* #,##0_);_(* \(#,##0\);_(* &quot;-&quot;_);_(@_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/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_Pro Medium"/>
        <family val="2"/>
        <scheme val="none"/>
      </font>
      <numFmt numFmtId="33" formatCode="_(* #,##0_);_(* \(#,##0\);_(* &quot;-&quot;_);_(@_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_Pro Medium"/>
        <family val="3"/>
        <charset val="129"/>
        <scheme val="none"/>
      </font>
      <numFmt numFmtId="33" formatCode="_(* #,##0_);_(* \(#,##0\);_(* &quot;-&quot;_);_(@_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/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_Pro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_Pro Medium"/>
        <family val="3"/>
        <charset val="129"/>
        <scheme val="none"/>
      </font>
      <numFmt numFmtId="33" formatCode="_(* #,##0_);_(* \(#,##0\);_(* &quot;-&quot;_);_(@_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/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_Pro Medium"/>
        <charset val="129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KoPubDotum_Pro Medium"/>
        <scheme val="none"/>
      </font>
      <numFmt numFmtId="33" formatCode="_(* #,##0_);_(* \(#,##0\);_(* &quot;-&quot;_);_(@_)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/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KoPubDotum Medium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oPubDotum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/>
      </border>
    </dxf>
    <dxf>
      <border>
        <bottom style="thin">
          <color rgb="FFF2F2F2"/>
        </bottom>
      </border>
    </dxf>
    <dxf>
      <border outline="0">
        <top style="thin">
          <color rgb="FF000000"/>
        </top>
        <bottom style="thin">
          <color rgb="FF595959"/>
        </bottom>
      </border>
    </dxf>
    <dxf>
      <font>
        <strike val="0"/>
        <outline val="0"/>
        <shadow val="0"/>
        <u val="none"/>
        <vertAlign val="baseline"/>
        <sz val="10"/>
      </font>
    </dxf>
    <dxf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_Pro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_Pro Medium"/>
        <family val="3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_Pro Medium"/>
        <family val="3"/>
        <scheme val="none"/>
      </font>
      <numFmt numFmtId="33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_Pro Medium"/>
        <charset val="129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border>
        <bottom style="thin">
          <color rgb="FFF2F2F2"/>
        </bottom>
      </border>
    </dxf>
    <dxf>
      <border outline="0">
        <top style="thin">
          <color rgb="FF000000"/>
        </top>
        <bottom style="thin">
          <color rgb="FF5959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(* #,##0_);_(* \(#,##0\);_(* &quot;-&quot;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oPub돋움체 Medium"/>
        <family val="3"/>
        <charset val="129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>
        <bottom style="thin">
          <color rgb="FFF2F2F2"/>
        </bottom>
      </border>
    </dxf>
    <dxf>
      <border outline="0">
        <top style="thin">
          <color rgb="FF000000"/>
        </top>
        <bottom style="thin">
          <color rgb="FF595959"/>
        </bottom>
      </border>
    </dxf>
    <dxf>
      <font>
        <strike val="0"/>
        <outline val="0"/>
        <shadow val="0"/>
        <u val="none"/>
        <vertAlign val="baseline"/>
        <name val="KoPub돋움체 Medium"/>
        <charset val="129"/>
        <scheme val="none"/>
      </font>
    </dxf>
    <dxf>
      <font>
        <strike val="0"/>
        <outline val="0"/>
        <shadow val="0"/>
        <u val="none"/>
        <vertAlign val="baseline"/>
        <name val="KoPub돋움체 Medium"/>
        <charset val="129"/>
        <scheme val="none"/>
      </font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KoPub돋움체 Medium"/>
        <charset val="129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oPub돋움체 Medium"/>
        <charset val="129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charset val="129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oPub돋움체 Medium"/>
        <charset val="129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>
        <bottom style="thin">
          <color rgb="FFF2F2F2"/>
        </bottom>
      </border>
    </dxf>
    <dxf>
      <border outline="0">
        <top style="thin">
          <color rgb="FF000000"/>
        </top>
        <bottom style="thin">
          <color rgb="FF595959"/>
        </bottom>
      </border>
    </dxf>
    <dxf>
      <font>
        <strike val="0"/>
        <outline val="0"/>
        <shadow val="0"/>
        <u val="none"/>
        <vertAlign val="baseline"/>
        <sz val="11"/>
        <name val="KoPub돋움체 Medium"/>
        <charset val="129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KoPub돋움체 Medium"/>
        <charset val="129"/>
        <scheme val="none"/>
      </font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KoPub돋움체 Medium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family val="3"/>
        <charset val="129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outline="0">
        <top style="thin">
          <color rgb="FF000000"/>
        </top>
        <bottom style="thin">
          <color rgb="FF595959"/>
        </bottom>
      </border>
    </dxf>
    <dxf>
      <fill>
        <patternFill>
          <fgColor indexed="64"/>
          <bgColor theme="0"/>
        </patternFill>
      </fill>
    </dxf>
    <dxf>
      <border>
        <bottom style="thin">
          <color rgb="FFF2F2F2"/>
        </bottom>
      </border>
    </dxf>
    <dxf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oPubDotum_Pro Medium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oPubDotum_Pro Medium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_Pro Medium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돋움체 Medium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theme="1" tint="0.34998626667073579"/>
        </bottom>
      </border>
    </dxf>
    <dxf>
      <fill>
        <patternFill>
          <fgColor indexed="64"/>
          <bgColor theme="0"/>
        </patternFill>
      </fill>
    </dxf>
    <dxf>
      <border>
        <bottom style="thin">
          <color theme="0" tint="-4.9989318521683403E-2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_Pro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_Pro Medium"/>
        <scheme val="none"/>
      </font>
      <fill>
        <patternFill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oPubDotum Medium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돋움체 Medium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oPubDotum Medium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>
        <bottom style="thin">
          <color rgb="FFF2F2F2"/>
        </bottom>
      </border>
    </dxf>
    <dxf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 style="thin">
          <color theme="0" tint="-4.9989318521683403E-2"/>
        </vertical>
        <horizontal style="thin">
          <color theme="0" tint="-4.9989318521683403E-2"/>
        </horizontal>
      </border>
    </dxf>
  </dxfs>
  <tableStyles count="0" defaultTableStyle="TableStyleMedium2" defaultPivotStyle="PivotStyleMedium9"/>
  <colors>
    <mruColors>
      <color rgb="FF004D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3329002</xdr:colOff>
      <xdr:row>0</xdr:row>
      <xdr:rowOff>640080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8D868F08-6CE8-1747-9A82-0F5D8607B8D4}"/>
            </a:ext>
          </a:extLst>
        </xdr:cNvPr>
        <xdr:cNvGrpSpPr/>
      </xdr:nvGrpSpPr>
      <xdr:grpSpPr>
        <a:xfrm>
          <a:off x="0" y="0"/>
          <a:ext cx="4001355" cy="640080"/>
          <a:chOff x="368300" y="101600"/>
          <a:chExt cx="3799641" cy="548640"/>
        </a:xfrm>
      </xdr:grpSpPr>
      <xdr:sp macro="" textlink="">
        <xdr:nvSpPr>
          <xdr:cNvPr id="3" name="Rectangle 18">
            <a:extLst>
              <a:ext uri="{FF2B5EF4-FFF2-40B4-BE49-F238E27FC236}">
                <a16:creationId xmlns:a16="http://schemas.microsoft.com/office/drawing/2014/main" id="{77A13A4E-F241-A14A-98B0-B6F7FD50EECB}"/>
              </a:ext>
            </a:extLst>
          </xdr:cNvPr>
          <xdr:cNvSpPr/>
        </xdr:nvSpPr>
        <xdr:spPr>
          <a:xfrm>
            <a:off x="368300" y="101600"/>
            <a:ext cx="1083011" cy="548640"/>
          </a:xfrm>
          <a:prstGeom prst="rect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 i="0">
                <a:latin typeface="KoPubDotum_Pro Bold" pitchFamily="2" charset="-127"/>
                <a:ea typeface="KoPubDotum_Pro Bold" pitchFamily="2" charset="-127"/>
              </a:rPr>
              <a:t>울산</a:t>
            </a:r>
            <a:r>
              <a:rPr lang="en-US" altLang="ko-KR" sz="1400" b="1" i="0">
                <a:latin typeface="KoPubDotum_Pro Bold" pitchFamily="2" charset="-127"/>
                <a:ea typeface="KoPubDotum_Pro Bold" pitchFamily="2" charset="-127"/>
              </a:rPr>
              <a:t>RISE</a:t>
            </a:r>
          </a:p>
          <a:p>
            <a:pPr algn="ctr"/>
            <a:r>
              <a:rPr lang="ko-KR" altLang="en-US" sz="1400" b="1" i="0">
                <a:latin typeface="KoPubDotum_Pro Bold" pitchFamily="2" charset="-127"/>
                <a:ea typeface="KoPubDotum_Pro Bold" pitchFamily="2" charset="-127"/>
              </a:rPr>
              <a:t>프로젝트명</a:t>
            </a:r>
            <a:endParaRPr lang="en-US" sz="1400" b="1" i="0">
              <a:latin typeface="KoPubDotum_Pro Bold" pitchFamily="2" charset="-127"/>
              <a:ea typeface="KoPubDotum_Pro Bold" pitchFamily="2" charset="-127"/>
            </a:endParaRPr>
          </a:p>
        </xdr:txBody>
      </xdr:sp>
      <xdr:sp macro="" textlink="">
        <xdr:nvSpPr>
          <xdr:cNvPr id="4" name="Rectangle 19">
            <a:extLst>
              <a:ext uri="{FF2B5EF4-FFF2-40B4-BE49-F238E27FC236}">
                <a16:creationId xmlns:a16="http://schemas.microsoft.com/office/drawing/2014/main" id="{473891F0-BEB3-B832-C141-0B05524CF7C6}"/>
              </a:ext>
            </a:extLst>
          </xdr:cNvPr>
          <xdr:cNvSpPr/>
        </xdr:nvSpPr>
        <xdr:spPr>
          <a:xfrm>
            <a:off x="1460413" y="101600"/>
            <a:ext cx="2707528" cy="54864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C.</a:t>
            </a:r>
            <a:r>
              <a:rPr lang="en-US" altLang="ko-KR" sz="1400" b="1" i="0" baseline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 </a:t>
            </a:r>
            <a:r>
              <a:rPr lang="ko-KR" altLang="en-US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다시 뛰게 만드는 생애 </a:t>
            </a:r>
            <a:r>
              <a:rPr lang="en-US" altLang="ko-KR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'</a:t>
            </a:r>
            <a:r>
              <a:rPr lang="ko-KR" altLang="en-US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직무 도약</a:t>
            </a:r>
            <a:r>
              <a:rPr lang="en-US" altLang="ko-KR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'</a:t>
            </a:r>
          </a:p>
          <a:p>
            <a:pPr algn="ctr"/>
            <a:r>
              <a:rPr lang="ko-KR" altLang="en-US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체계 구축</a:t>
            </a:r>
            <a:endParaRPr lang="en-US" sz="1400" b="1" i="0">
              <a:solidFill>
                <a:schemeClr val="tx1"/>
              </a:solidFill>
              <a:latin typeface="KoPubDotum_Pro Bold" pitchFamily="2" charset="-127"/>
              <a:ea typeface="KoPubDotum_Pro Bold" pitchFamily="2" charset="-127"/>
            </a:endParaRPr>
          </a:p>
        </xdr:txBody>
      </xdr:sp>
    </xdr:grpSp>
    <xdr:clientData/>
  </xdr:twoCellAnchor>
  <xdr:twoCellAnchor>
    <xdr:from>
      <xdr:col>2</xdr:col>
      <xdr:colOff>0</xdr:colOff>
      <xdr:row>0</xdr:row>
      <xdr:rowOff>0</xdr:rowOff>
    </xdr:from>
    <xdr:to>
      <xdr:col>3</xdr:col>
      <xdr:colOff>3333548</xdr:colOff>
      <xdr:row>0</xdr:row>
      <xdr:rowOff>640080</xdr:rowOff>
    </xdr:to>
    <xdr:grpSp>
      <xdr:nvGrpSpPr>
        <xdr:cNvPr id="5" name="Group 20">
          <a:extLst>
            <a:ext uri="{FF2B5EF4-FFF2-40B4-BE49-F238E27FC236}">
              <a16:creationId xmlns:a16="http://schemas.microsoft.com/office/drawing/2014/main" id="{A90E50A1-0BFD-7940-AC9F-9058126E87F8}"/>
            </a:ext>
          </a:extLst>
        </xdr:cNvPr>
        <xdr:cNvGrpSpPr/>
      </xdr:nvGrpSpPr>
      <xdr:grpSpPr>
        <a:xfrm>
          <a:off x="4168588" y="0"/>
          <a:ext cx="4005901" cy="640080"/>
          <a:chOff x="4635500" y="101600"/>
          <a:chExt cx="3706670" cy="548640"/>
        </a:xfrm>
      </xdr:grpSpPr>
      <xdr:sp macro="" textlink="">
        <xdr:nvSpPr>
          <xdr:cNvPr id="6" name="Rectangle 21">
            <a:extLst>
              <a:ext uri="{FF2B5EF4-FFF2-40B4-BE49-F238E27FC236}">
                <a16:creationId xmlns:a16="http://schemas.microsoft.com/office/drawing/2014/main" id="{8FDECE8B-4C83-8B73-7294-29008C64DA53}"/>
              </a:ext>
            </a:extLst>
          </xdr:cNvPr>
          <xdr:cNvSpPr/>
        </xdr:nvSpPr>
        <xdr:spPr>
          <a:xfrm>
            <a:off x="4635500" y="101600"/>
            <a:ext cx="1055265" cy="54864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 i="0">
                <a:latin typeface="KoPubDotum_Pro Bold" pitchFamily="2" charset="-127"/>
                <a:ea typeface="KoPubDotum_Pro Bold" pitchFamily="2" charset="-127"/>
              </a:rPr>
              <a:t>울산</a:t>
            </a:r>
            <a:r>
              <a:rPr lang="en-US" altLang="ko-KR" sz="1400" b="1" i="0">
                <a:latin typeface="KoPubDotum_Pro Bold" pitchFamily="2" charset="-127"/>
                <a:ea typeface="KoPubDotum_Pro Bold" pitchFamily="2" charset="-127"/>
              </a:rPr>
              <a:t>RISE</a:t>
            </a:r>
          </a:p>
          <a:p>
            <a:pPr algn="ctr"/>
            <a:r>
              <a:rPr lang="ko-KR" altLang="en-US" sz="1400" b="1" i="0">
                <a:latin typeface="KoPubDotum_Pro Bold" pitchFamily="2" charset="-127"/>
                <a:ea typeface="KoPubDotum_Pro Bold" pitchFamily="2" charset="-127"/>
              </a:rPr>
              <a:t>단위과제명</a:t>
            </a:r>
            <a:endParaRPr lang="en-US" sz="1400" b="1" i="0">
              <a:latin typeface="KoPubDotum_Pro Bold" pitchFamily="2" charset="-127"/>
              <a:ea typeface="KoPubDotum_Pro Bold" pitchFamily="2" charset="-127"/>
            </a:endParaRPr>
          </a:p>
        </xdr:txBody>
      </xdr:sp>
      <xdr:sp macro="" textlink="">
        <xdr:nvSpPr>
          <xdr:cNvPr id="7" name="Rectangle 22">
            <a:extLst>
              <a:ext uri="{FF2B5EF4-FFF2-40B4-BE49-F238E27FC236}">
                <a16:creationId xmlns:a16="http://schemas.microsoft.com/office/drawing/2014/main" id="{28527031-E27F-1AF3-CD4A-31FB8544C7C2}"/>
              </a:ext>
            </a:extLst>
          </xdr:cNvPr>
          <xdr:cNvSpPr/>
        </xdr:nvSpPr>
        <xdr:spPr>
          <a:xfrm>
            <a:off x="5704006" y="101600"/>
            <a:ext cx="2638164" cy="54864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C-2. With-U</a:t>
            </a:r>
            <a:r>
              <a:rPr lang="en-US" altLang="ko-KR" sz="1400" b="1" i="0" baseline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 </a:t>
            </a:r>
            <a:r>
              <a:rPr lang="ko-KR" altLang="en-US" sz="1400" b="1" i="0" baseline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동남권 정원형 돌봄생태계 조성</a:t>
            </a:r>
            <a:endParaRPr lang="en-US" sz="1400" b="1" i="0">
              <a:solidFill>
                <a:schemeClr val="tx1"/>
              </a:solidFill>
              <a:latin typeface="KoPubDotum_Pro Bold" pitchFamily="2" charset="-127"/>
              <a:ea typeface="KoPubDotum_Pro Bold" pitchFamily="2" charset="-127"/>
            </a:endParaRPr>
          </a:p>
        </xdr:txBody>
      </xdr:sp>
    </xdr:grpSp>
    <xdr:clientData/>
  </xdr:twoCellAnchor>
  <xdr:twoCellAnchor>
    <xdr:from>
      <xdr:col>4</xdr:col>
      <xdr:colOff>1</xdr:colOff>
      <xdr:row>0</xdr:row>
      <xdr:rowOff>0</xdr:rowOff>
    </xdr:from>
    <xdr:to>
      <xdr:col>5</xdr:col>
      <xdr:colOff>3326152</xdr:colOff>
      <xdr:row>0</xdr:row>
      <xdr:rowOff>640080</xdr:rowOff>
    </xdr:to>
    <xdr:grpSp>
      <xdr:nvGrpSpPr>
        <xdr:cNvPr id="8" name="Group 23">
          <a:extLst>
            <a:ext uri="{FF2B5EF4-FFF2-40B4-BE49-F238E27FC236}">
              <a16:creationId xmlns:a16="http://schemas.microsoft.com/office/drawing/2014/main" id="{A77B6B16-40C4-0D4F-996F-76F73885F8DB}"/>
            </a:ext>
          </a:extLst>
        </xdr:cNvPr>
        <xdr:cNvGrpSpPr/>
      </xdr:nvGrpSpPr>
      <xdr:grpSpPr>
        <a:xfrm>
          <a:off x="8337177" y="0"/>
          <a:ext cx="3998504" cy="640080"/>
          <a:chOff x="9753600" y="101600"/>
          <a:chExt cx="4769808" cy="548640"/>
        </a:xfrm>
      </xdr:grpSpPr>
      <xdr:sp macro="" textlink="">
        <xdr:nvSpPr>
          <xdr:cNvPr id="9" name="Rectangle 24">
            <a:extLst>
              <a:ext uri="{FF2B5EF4-FFF2-40B4-BE49-F238E27FC236}">
                <a16:creationId xmlns:a16="http://schemas.microsoft.com/office/drawing/2014/main" id="{7829BCA2-7821-16B5-9C49-93C34DF31676}"/>
              </a:ext>
            </a:extLst>
          </xdr:cNvPr>
          <xdr:cNvSpPr/>
        </xdr:nvSpPr>
        <xdr:spPr>
          <a:xfrm>
            <a:off x="9753600" y="101600"/>
            <a:ext cx="1360545" cy="548640"/>
          </a:xfrm>
          <a:prstGeom prst="rect">
            <a:avLst/>
          </a:prstGeom>
          <a:solidFill>
            <a:srgbClr val="004D5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 i="0">
                <a:latin typeface="KoPubDotum_Pro Bold" pitchFamily="2" charset="-127"/>
                <a:ea typeface="KoPubDotum_Pro Bold" pitchFamily="2" charset="-127"/>
              </a:rPr>
              <a:t>울산과학대</a:t>
            </a:r>
            <a:endParaRPr lang="en-US" altLang="ko-KR" sz="1400" b="1" i="0">
              <a:latin typeface="KoPubDotum_Pro Bold" pitchFamily="2" charset="-127"/>
              <a:ea typeface="KoPubDotum_Pro Bold" pitchFamily="2" charset="-127"/>
            </a:endParaRPr>
          </a:p>
          <a:p>
            <a:pPr algn="ctr"/>
            <a:r>
              <a:rPr lang="ko-KR" altLang="en-US" sz="1400" b="1" i="0">
                <a:latin typeface="KoPubDotum_Pro Bold" pitchFamily="2" charset="-127"/>
                <a:ea typeface="KoPubDotum_Pro Bold" pitchFamily="2" charset="-127"/>
              </a:rPr>
              <a:t>단위과제명</a:t>
            </a:r>
            <a:endParaRPr lang="en-US" sz="1400" b="1" i="0">
              <a:latin typeface="KoPubDotum_Pro Bold" pitchFamily="2" charset="-127"/>
              <a:ea typeface="KoPubDotum_Pro Bold" pitchFamily="2" charset="-127"/>
            </a:endParaRPr>
          </a:p>
        </xdr:txBody>
      </xdr:sp>
      <xdr:sp macro="" textlink="">
        <xdr:nvSpPr>
          <xdr:cNvPr id="10" name="Rectangle 25">
            <a:extLst>
              <a:ext uri="{FF2B5EF4-FFF2-40B4-BE49-F238E27FC236}">
                <a16:creationId xmlns:a16="http://schemas.microsoft.com/office/drawing/2014/main" id="{C4180BDC-C265-DC99-3CA1-BA9A5EEF9953}"/>
              </a:ext>
            </a:extLst>
          </xdr:cNvPr>
          <xdr:cNvSpPr/>
        </xdr:nvSpPr>
        <xdr:spPr>
          <a:xfrm>
            <a:off x="11122045" y="101600"/>
            <a:ext cx="3401363" cy="54864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C-2.</a:t>
            </a:r>
            <a:r>
              <a:rPr lang="ko-KR" altLang="en-US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 동남권과 함께 성장하는 돌봄생태계</a:t>
            </a:r>
            <a:r>
              <a:rPr lang="en-US" altLang="ko-KR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, </a:t>
            </a:r>
            <a:r>
              <a:rPr lang="ko-KR" altLang="en-US" sz="1400" b="1" i="0">
                <a:solidFill>
                  <a:schemeClr val="tx1"/>
                </a:solidFill>
                <a:latin typeface="KoPubDotum_Pro Bold" pitchFamily="2" charset="-127"/>
                <a:ea typeface="KoPubDotum_Pro Bold" pitchFamily="2" charset="-127"/>
              </a:rPr>
              <a:t>울산愛 구현</a:t>
            </a:r>
            <a:endParaRPr lang="en-US" sz="1400" b="1" i="0">
              <a:solidFill>
                <a:schemeClr val="tx1"/>
              </a:solidFill>
              <a:latin typeface="KoPubDotum_Pro Bold" pitchFamily="2" charset="-127"/>
              <a:ea typeface="KoPubDotum_Pro Bold" pitchFamily="2" charset="-127"/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소정" id="{7C5A6F14-25F0-794B-9A6A-4217BF01B70F}" userId="S::sjkim9@office.uc.ac.kr::0b7d20f2-6cc9-46a5-843e-88628c67e40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26BDD3-BB82-41D0-ACC9-8F2127E58B05}" name="Table_C18" displayName="Table_C18" ref="A2:L39" totalsRowShown="0" headerRowDxfId="178" dataDxfId="176" headerRowBorderDxfId="177" tableBorderDxfId="175">
  <autoFilter ref="A2:L39" xr:uid="{EC26BDD3-BB82-41D0-ACC9-8F2127E58B05}"/>
  <tableColumns count="12">
    <tableColumn id="1" xr3:uid="{8EB592DE-B789-44D9-928E-51EC612F25F0}" name="전략코드" dataDxfId="174"/>
    <tableColumn id="2" xr3:uid="{B75B0AB6-A17D-4F20-AF19-A77718CAD885}" name="울산과학대학교 RISE 추진전략" dataDxfId="173"/>
    <tableColumn id="3" xr3:uid="{8114521C-1CC7-401B-8902-63BB7E9D1E89}" name="프로젝트코드" dataDxfId="172"/>
    <tableColumn id="4" xr3:uid="{E65E6FCF-3C7A-48F8-BCB1-DADBE726DE4E}" name="울산과학대학교 RISE 추진과제" dataDxfId="171"/>
    <tableColumn id="5" xr3:uid="{3F219EA0-AF2E-4D2E-98B8-1A8C7D9EA706}" name="액션플랜코드" dataDxfId="170"/>
    <tableColumn id="6" xr3:uid="{CCA53453-869B-4395-BE8F-F3ABFA94DE92}" name="울산과학대학교 RISE Action Plan" dataDxfId="169"/>
    <tableColumn id="9" xr3:uid="{3F8078A0-AED9-4CFD-9DA0-22ED6314B416}" name="프로그램코드" dataDxfId="168"/>
    <tableColumn id="7" xr3:uid="{0AAF5A32-3C07-45A4-9E1C-6932E8DFE394}" name="프로그램 상세" dataDxfId="167"/>
    <tableColumn id="8" xr3:uid="{CA980A82-29C4-43D4-8C99-5D9A6F9FA0AA}" name="사업비 예산_x000a_(천원)" dataDxfId="166"/>
    <tableColumn id="11" xr3:uid="{493FA772-D190-41EE-B531-C5FA5DB40035}" name="기준일 현재 _x000a_집행액_x000a_(천원)" dataDxfId="165"/>
    <tableColumn id="12" xr3:uid="{70AE1E9E-46FE-4F06-A3AC-435D1A86E2D4}" name="기준일 현재 _x000a_집행율(%)" dataDxfId="164">
      <calculatedColumnFormula>Table_C18[[#This Row],[기준일 현재 
집행액
(천원)]]/Table_C18[[#This Row],[사업비 예산
(천원)]]</calculatedColumnFormula>
    </tableColumn>
    <tableColumn id="10" xr3:uid="{114EC7BC-7579-4B33-AC4E-EC6AF3965A7F}" name="담당자" dataDxfId="16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DD9468-59CD-F746-85E0-E21165045E97}" name="Table_D21214" displayName="Table_D21214" ref="A2:L40" totalsRowShown="0" headerRowDxfId="27" dataDxfId="26" headerRowBorderDxfId="24" tableBorderDxfId="25">
  <autoFilter ref="A2:L40" xr:uid="{014F7737-70B5-4137-BA64-4693FEE78F63}"/>
  <tableColumns count="12">
    <tableColumn id="1" xr3:uid="{22D4D5D9-098B-FA4D-A8F2-999C760F81FB}" name="전략코드" dataDxfId="23"/>
    <tableColumn id="2" xr3:uid="{7390EF37-4083-FA4C-B997-A3EFFE0A1EF5}" name="울산과학대학교 RISE 추진전략" dataDxfId="22"/>
    <tableColumn id="3" xr3:uid="{1089B16C-AED5-3E41-A871-D0A8EFDC98C5}" name="프로젝트코드" dataDxfId="21"/>
    <tableColumn id="4" xr3:uid="{19378612-0831-4944-9D73-5F8BE4B6AEEE}" name="울산과학대학교 RISE 추진과제" dataDxfId="20"/>
    <tableColumn id="5" xr3:uid="{A4CC665B-E209-654E-8FA1-303846DE4857}" name="액션플랜코드" dataDxfId="19"/>
    <tableColumn id="6" xr3:uid="{11E7B724-1723-4D41-8A55-C0253AEBC0A0}" name="울산과학대학교 RISE Action Plan" dataDxfId="18"/>
    <tableColumn id="9" xr3:uid="{3D0991BA-A9B3-EA4D-8723-CDC613AEBB5A}" name="프로그램코드" dataDxfId="17"/>
    <tableColumn id="7" xr3:uid="{EC69423F-47AC-1E41-9951-AF2C0A2694F4}" name="프로그램 상세" dataDxfId="16"/>
    <tableColumn id="8" xr3:uid="{FD322A02-D1CE-F045-94E1-3E379C8CD9F5}" name="사업비 예산" dataDxfId="15"/>
    <tableColumn id="11" xr3:uid="{798746C2-75AF-2A46-833F-C05235083EDE}" name="기준일 현재 _x000a_집행액" dataDxfId="14"/>
    <tableColumn id="12" xr3:uid="{9097F8C3-472B-D546-B3C9-AE505E23DF5F}" name="기준일 현재 _x000a_집행율(%)" dataDxfId="13">
      <calculatedColumnFormula>Table_D21214[[#This Row],[기준일 현재 
집행액]]/Table_D21214[[#This Row],[사업비 예산]]</calculatedColumnFormula>
    </tableColumn>
    <tableColumn id="10" xr3:uid="{7B341F27-C864-C046-92FB-DB11290E129B}" name="담당자" dataDxfId="1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0BB71D-44CF-473E-9C1B-BB27ED05BC58}" name="Table_D1" displayName="Table_D1" ref="A2:L27" totalsRowShown="0" headerRowDxfId="162" dataDxfId="160" headerRowBorderDxfId="161" tableBorderDxfId="159">
  <autoFilter ref="A2:L27" xr:uid="{CD0BB71D-44CF-473E-9C1B-BB27ED05BC58}"/>
  <tableColumns count="12">
    <tableColumn id="1" xr3:uid="{28E8012F-B3FD-4A49-9E2A-C0412C2EA514}" name="전략코드" dataDxfId="158"/>
    <tableColumn id="2" xr3:uid="{274D78A1-9AC9-415F-9627-A26ED16D0F5A}" name="울산과학대학교 RISE 추진전략" dataDxfId="157"/>
    <tableColumn id="3" xr3:uid="{F88A66C5-4114-42BD-A636-E6B0942B18C3}" name="프로젝트코드" dataDxfId="156"/>
    <tableColumn id="4" xr3:uid="{D8F11D47-54FD-45F9-991A-226EB1B58B61}" name="울산과학대학교 RISE 추진과제" dataDxfId="155"/>
    <tableColumn id="5" xr3:uid="{C9B94028-E227-43B9-ACC6-90ABB2792A76}" name="액션플랜코드" dataDxfId="154"/>
    <tableColumn id="6" xr3:uid="{53E4A545-E4F1-457F-81CD-48F4961B3DC6}" name="울산과학대학교 RISE Action Plan" dataDxfId="153"/>
    <tableColumn id="9" xr3:uid="{B0703E15-74FF-4E9E-867D-AD01FFAE80A5}" name="프로그램코드" dataDxfId="152"/>
    <tableColumn id="7" xr3:uid="{973F7D91-6CDF-4212-A0F1-95B345E42FD7}" name="프로그램 상세" dataDxfId="151"/>
    <tableColumn id="8" xr3:uid="{88116AB5-33A7-43DB-B538-BCB8E2FB59C5}" name="사업비 예산_x000a_(천원)" dataDxfId="150"/>
    <tableColumn id="12" xr3:uid="{20B5371D-7368-48EF-8E0E-2C4281D01CDE}" name="기준일 현재 _x000a_집행액_x000a_(천원)" dataDxfId="149"/>
    <tableColumn id="11" xr3:uid="{423E45AD-6E2E-4369-A37F-42A37D873306}" name="기준일 현재 _x000a_집행율(%)" dataDxfId="148">
      <calculatedColumnFormula>J3/I3</calculatedColumnFormula>
    </tableColumn>
    <tableColumn id="10" xr3:uid="{84174AEB-0544-43C8-AAA3-1C0B49AAD181}" name="담당자" dataDxfId="14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4F7737-70B5-4137-BA64-4693FEE78F63}" name="Table_D212" displayName="Table_D212" ref="A2:L18" totalsRowShown="0" headerRowDxfId="194" dataDxfId="192" headerRowBorderDxfId="193" tableBorderDxfId="191">
  <autoFilter ref="A2:L18" xr:uid="{014F7737-70B5-4137-BA64-4693FEE78F63}"/>
  <tableColumns count="12">
    <tableColumn id="1" xr3:uid="{8B649AC0-5DD8-463A-8B7B-37E5D44673AB}" name="전략코드" dataDxfId="190"/>
    <tableColumn id="2" xr3:uid="{32D61A71-9257-48E6-ABD6-A62F6AD0EF9E}" name="울산과학대학교 RISE 추진전략" dataDxfId="189"/>
    <tableColumn id="3" xr3:uid="{E540612C-F580-40C5-A522-5EE1FF90656A}" name="프로젝트코드" dataDxfId="188"/>
    <tableColumn id="4" xr3:uid="{03213B91-464B-4EC3-AE03-A1C1FDE140A7}" name="울산과학대학교 RISE 추진과제" dataDxfId="187"/>
    <tableColumn id="5" xr3:uid="{7CF1F155-F6CC-4668-B0C1-EC9397F517FE}" name="액션플랜코드" dataDxfId="186"/>
    <tableColumn id="6" xr3:uid="{B2D0A98E-0450-42FA-911A-8125689F0434}" name="울산과학대학교 RISE Action Plan" dataDxfId="185"/>
    <tableColumn id="9" xr3:uid="{D8F715E6-0DE8-4FAF-ACE1-CA7F70CA9385}" name="프로그램코드" dataDxfId="184"/>
    <tableColumn id="7" xr3:uid="{E06D90A6-770B-45C4-8612-DD1F3F7D94AA}" name="프로그램 상세" dataDxfId="183"/>
    <tableColumn id="8" xr3:uid="{3FB4D4C4-9267-4D24-8BA4-59EDDA40EDF6}" name="사업비 예산_x000a_(천원)" dataDxfId="182"/>
    <tableColumn id="11" xr3:uid="{03406987-3B73-4B51-8C69-9C0D7EDD356D}" name="기준일 현재 _x000a_집행액_x000a_(천원)" dataDxfId="181"/>
    <tableColumn id="12" xr3:uid="{60AC4054-158A-413E-A7DA-32BEE32DB456}" name="기준일 현재 _x000a_집행율(%)" dataDxfId="180">
      <calculatedColumnFormula>Table_D212[[#This Row],[기준일 현재 
집행액
(천원)]]/Table_D212[[#This Row],[사업비 예산
(천원)]]</calculatedColumnFormula>
    </tableColumn>
    <tableColumn id="10" xr3:uid="{3B433D66-49BC-4E2D-A0EF-5246D08A1A85}" name="담당자" dataDxfId="179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F5CE2F-D3AD-A14B-8F9B-5C92EB77E0AC}" name="Table_D3613" displayName="Table_D3613" ref="A2:L20" totalsRowShown="0" headerRowDxfId="146" dataDxfId="145" headerRowBorderDxfId="143" tableBorderDxfId="144" totalsRowBorderDxfId="142">
  <autoFilter ref="A2:L20" xr:uid="{8618879B-6BCF-4551-9D44-A7738903F3CC}"/>
  <tableColumns count="12">
    <tableColumn id="1" xr3:uid="{31739321-183B-5149-A34C-CE137E6FEAF3}" name="전략코드" dataDxfId="141"/>
    <tableColumn id="2" xr3:uid="{ED48EAD3-C429-E346-AF67-E5617B58AAF4}" name="울산과학대학교 RISE 추진전략" dataDxfId="140"/>
    <tableColumn id="3" xr3:uid="{7D911E90-2ABB-5041-A6F0-BB7DC460A8B7}" name="프로젝트 코드" dataDxfId="139"/>
    <tableColumn id="4" xr3:uid="{DF1F1F2A-C6A4-5F4A-AC0B-D2CA3CDD8D90}" name="울산과학대학교 RISE 추진과제" dataDxfId="138"/>
    <tableColumn id="5" xr3:uid="{FAD2F3A0-7E56-4743-98CC-D8DAEFD84B43}" name="액션플랜 코드" dataDxfId="137"/>
    <tableColumn id="6" xr3:uid="{711235F2-BBB9-D14E-B748-FBAF733BF06A}" name="울산과학대학교 RISE Action Plan" dataDxfId="136"/>
    <tableColumn id="9" xr3:uid="{7041649C-427B-1343-999A-F485C89DA386}" name="프로그램 코드" dataDxfId="135"/>
    <tableColumn id="7" xr3:uid="{79E64A95-7DBC-D44C-B6D6-75AB04CD37F8}" name="프로그램(2차년도 예산 기준)" dataDxfId="134"/>
    <tableColumn id="8" xr3:uid="{4A864093-8815-F647-A6EB-EB8CB292C3F5}" name="사업비(2차년도 예산 기준) _x000a_(단위:천원)" dataDxfId="133"/>
    <tableColumn id="12" xr3:uid="{49C9249B-291C-5B47-A4F8-ACD438D0DAFD}" name="집행금액"/>
    <tableColumn id="11" xr3:uid="{89D3088C-2AA6-1E4C-927E-2AAB6864098F}" name="잔액" dataDxfId="132">
      <calculatedColumnFormula>I3-J3</calculatedColumnFormula>
    </tableColumn>
    <tableColumn id="10" xr3:uid="{B1DD3D3D-EE26-3847-8702-8858531A8D69}" name="담당자" dataDxfId="131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4AEE68-B468-0843-9B2A-6D520FECB08D}" name="Table_D2" displayName="Table_D2" ref="A2:L22" totalsRowCount="1" headerRowDxfId="130" dataDxfId="129" headerRowBorderDxfId="127" tableBorderDxfId="128">
  <autoFilter ref="A2:L21" xr:uid="{79597158-CADD-41DD-A1FA-1ACB621C6DE6}"/>
  <tableColumns count="12">
    <tableColumn id="1" xr3:uid="{6790D81C-CD24-8C4F-8B89-8D55C497C1D7}" name="전략코드" dataDxfId="126" totalsRowDxfId="11"/>
    <tableColumn id="2" xr3:uid="{2FC9F71D-8095-4149-BFB2-48AF5CDFBDE5}" name="울산과학대학교 RISE 추진전략" dataDxfId="125" totalsRowDxfId="10"/>
    <tableColumn id="3" xr3:uid="{6F5E03ED-7EDC-BC42-ADE1-B704F8A12303}" name="프로젝트코드" dataDxfId="124" totalsRowDxfId="9"/>
    <tableColumn id="4" xr3:uid="{AF1614B8-99B6-BA4D-8958-B2AADEBE1ED1}" name="울산과학대학교 RISE 추진과제" dataDxfId="123" totalsRowDxfId="8"/>
    <tableColumn id="5" xr3:uid="{B335261B-C3D3-7444-B6C8-1B4FB8B061A3}" name="액션플랜코드" dataDxfId="122" totalsRowDxfId="7"/>
    <tableColumn id="6" xr3:uid="{B0CFC82C-39EE-F442-9F57-89895C508E55}" name="울산과학대학교 RISE Action Plan" dataDxfId="121" totalsRowDxfId="6"/>
    <tableColumn id="9" xr3:uid="{89E51AA9-C4AF-4244-A655-5B84DD0247C0}" name="프로그램코드" dataDxfId="120" totalsRowDxfId="5"/>
    <tableColumn id="7" xr3:uid="{1DA9A9CC-055A-E441-98BC-D75B63C95751}" name="프로그램(2차년도 예산 기준)" totalsRowLabel="합계" dataDxfId="119" totalsRowDxfId="4"/>
    <tableColumn id="8" xr3:uid="{289D169F-D36E-824C-81D4-687B31F722CE}" name="사업비_x000a_(2차년도 예산 기준) _x000a_(단위:천원)" totalsRowFunction="custom" dataDxfId="118" totalsRowDxfId="3">
      <totalsRowFormula>SUM(I3:I21)</totalsRowFormula>
    </tableColumn>
    <tableColumn id="12" xr3:uid="{81E1A1BF-E573-FD45-93D8-D565D343765B}" name="사업비(집행 기준) _x000a_(단위:천원)" totalsRowFunction="custom" dataDxfId="117" totalsRowDxfId="2">
      <totalsRowFormula>SUM(J3:J21)</totalsRowFormula>
    </tableColumn>
    <tableColumn id="10" xr3:uid="{EEB179B1-DE10-7044-97EE-3A4E14617201}" name="담당자(예정)" dataDxfId="116" totalsRowDxfId="1"/>
    <tableColumn id="11" xr3:uid="{D7D4255C-F602-184D-A273-17CEDCE55314}" name="비고" dataDxfId="115" totalsRowDxfId="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56659-F3BF-544F-A39B-DD88F90E7849}" name="Table_C16" displayName="Table_C16" ref="A2:L22" totalsRowShown="0" headerRowDxfId="114" dataDxfId="113" headerRowBorderDxfId="111" tableBorderDxfId="112">
  <autoFilter ref="A2:L22" xr:uid="{9D831147-A79A-4775-AB3C-028AA54F8C95}"/>
  <tableColumns count="12">
    <tableColumn id="1" xr3:uid="{C17AD842-97CB-8B48-AD06-A9F106B22443}" name="전략코드" dataDxfId="110"/>
    <tableColumn id="2" xr3:uid="{5041BF91-EE45-AC4F-8101-A36AE26FE056}" name="울산과학대학교 RISE 추진전략" dataDxfId="109"/>
    <tableColumn id="3" xr3:uid="{6306FECB-B6D3-DB42-A18B-81706BDCDAFC}" name="프로젝트 코드" dataDxfId="108"/>
    <tableColumn id="4" xr3:uid="{B6F946E3-008D-D143-B3AE-E5C89384951D}" name="울산과학대학교 RISE 추진과제" dataDxfId="107"/>
    <tableColumn id="5" xr3:uid="{09C79DAC-B0A5-F049-924A-5A4D456F5178}" name="액션플랜 코드" dataDxfId="106"/>
    <tableColumn id="6" xr3:uid="{7492D2AB-41DB-C940-BB3F-C7DB53F428A5}" name="울산과학대학교 RISE Action Plan" dataDxfId="105"/>
    <tableColumn id="9" xr3:uid="{46E67192-5F35-1043-BB02-930801A57989}" name="프로그램 코드" dataDxfId="104"/>
    <tableColumn id="7" xr3:uid="{040A7A96-956E-014D-8143-9F15FB9E6887}" name="프로그램(2차년도 예산 기준)" dataDxfId="103"/>
    <tableColumn id="8" xr3:uid="{433B426C-D019-0744-874B-D4F411B791C5}" name="사업비(2차년도 예산 기준) _x000a_(단위:천원)" dataDxfId="102"/>
    <tableColumn id="12" xr3:uid="{FBC1B429-82D1-8347-BC20-6A327ADF5C7E}" name="집행금액" dataDxfId="101"/>
    <tableColumn id="11" xr3:uid="{B1B8EA90-14FB-BD4E-8C7E-72A99CBBBED4}" name="잔액" dataDxfId="100">
      <calculatedColumnFormula>I3-J3</calculatedColumnFormula>
    </tableColumn>
    <tableColumn id="10" xr3:uid="{C74BE6E3-389F-1E4F-B03E-D4272F7C9822}" name="담당자" dataDxfId="99"/>
  </tableColumns>
  <tableStyleInfo name="TableStyleMedium3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3415AB-06B0-6D47-A262-422BB7CEAC71}" name="Table_C1717" displayName="Table_C1717" ref="A2:L21" totalsRowShown="0" headerRowDxfId="98" headerRowBorderDxfId="96" tableBorderDxfId="97">
  <autoFilter ref="A2:L21" xr:uid="{716E75B0-AAC7-4CB2-9F3F-E27FCA9B34CC}"/>
  <tableColumns count="12">
    <tableColumn id="1" xr3:uid="{6D976A70-7FA1-384F-AAE0-38BD0C9847C9}" name="전략코드" dataDxfId="95"/>
    <tableColumn id="2" xr3:uid="{271732A6-3010-FB42-AD05-6955E5A35CB7}" name="울산과학대학교 RISE 추진전략" dataDxfId="94"/>
    <tableColumn id="3" xr3:uid="{7F8F1FC5-6D5B-5A47-8C0B-6E1B3529C84B}" name="프로젝트 코드" dataDxfId="93"/>
    <tableColumn id="4" xr3:uid="{E8C41B33-DEC6-CA4D-9212-727A7E066883}" name="울산과학대학교 RISE 추진과제" dataDxfId="92"/>
    <tableColumn id="5" xr3:uid="{61FE4D4C-D933-894B-A8C0-CD57B119AE15}" name="액션플랜 코드" dataDxfId="91"/>
    <tableColumn id="6" xr3:uid="{227DFD22-4B6A-F341-8EAF-D979C8799CF8}" name="울산과학대학교 RISE Action Plan" dataDxfId="90"/>
    <tableColumn id="9" xr3:uid="{9FC8AA27-5ABB-404A-960B-C2C2175FFD15}" name="프로그램 코드" dataDxfId="89"/>
    <tableColumn id="7" xr3:uid="{CC71BB7B-73D0-2A4A-9710-D8A90824E696}" name="프로그램(2차년도 예산 기준)" dataDxfId="88"/>
    <tableColumn id="8" xr3:uid="{4DCAEC77-43D6-0544-A3DD-4088A350B6B3}" name="사업비(2차년도 예산 기준) _x000a_(단위:천원)" dataDxfId="87"/>
    <tableColumn id="12" xr3:uid="{F9E73B9F-FD8A-CF4B-B351-F9B09287410A}" name="집행금액" dataDxfId="86">
      <calculatedColumnFormula>451.8+1200</calculatedColumnFormula>
    </tableColumn>
    <tableColumn id="11" xr3:uid="{258F117F-1D21-AC4D-8F5B-3AB6550B4884}" name="잔액" dataDxfId="85">
      <calculatedColumnFormula>I3-J3</calculatedColumnFormula>
    </tableColumn>
    <tableColumn id="10" xr3:uid="{E9CB193C-2B0A-0E4A-B119-69C0F83FBB80}" name="담당자" dataDxfId="84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76E4FC-5A30-1E4F-AA8C-882C8BC06F20}" name="Table_C134" displayName="Table_C134" ref="A2:J20" totalsRowCount="1" headerRowDxfId="83" dataDxfId="82" headerRowBorderDxfId="80" tableBorderDxfId="81">
  <tableColumns count="10">
    <tableColumn id="1" xr3:uid="{751DE584-AED9-2E48-9800-DE96A149098C}" name="전략코드" dataDxfId="78" totalsRowDxfId="79"/>
    <tableColumn id="2" xr3:uid="{8C30B11C-6DF3-E444-8463-9572BC374B83}" name="울산과학대학교 RISE 추진전략" dataDxfId="76" totalsRowDxfId="77"/>
    <tableColumn id="3" xr3:uid="{DBDF4ED6-2097-7444-BB9E-473E89298265}" name="프로젝트코드" dataDxfId="74" totalsRowDxfId="75"/>
    <tableColumn id="4" xr3:uid="{2AD166E5-4EA3-C049-85AC-CAA0A19CECD4}" name="울산과학대학교 RISE 추진과제" dataDxfId="72" totalsRowDxfId="73"/>
    <tableColumn id="5" xr3:uid="{731E3119-7E2F-0C48-A6E0-FCA9711F88CF}" name="액션플랜코드" dataDxfId="70" totalsRowDxfId="71"/>
    <tableColumn id="6" xr3:uid="{3F21A36C-8B69-1543-991E-C7765EE77C84}" name="울산과학대학교 RISE Action Plan" dataDxfId="68" totalsRowDxfId="69"/>
    <tableColumn id="8" xr3:uid="{C5C2D6AF-AF47-2A4F-B60B-DF1958A6BA02}" name="사업비 예산_x000a_(천원)" totalsRowFunction="custom" dataDxfId="66" totalsRowDxfId="67">
      <totalsRowFormula>SUM(G3:G19)</totalsRowFormula>
    </tableColumn>
    <tableColumn id="10" xr3:uid="{4AF1E520-30BC-B847-AF02-C344C1F160F9}" name="기준일 현재 _x000a_집행액_x000a_(천원)" totalsRowFunction="custom" dataDxfId="64" totalsRowDxfId="65">
      <totalsRowFormula>SUM(H3:H19)</totalsRowFormula>
    </tableColumn>
    <tableColumn id="12" xr3:uid="{1BF12008-2B48-A642-85AA-9D210BFFD181}" name="기준일 현재 _x000a_집행율(%)" totalsRowFunction="custom" dataDxfId="62" totalsRowDxfId="63">
      <totalsRowFormula>SUM(I3:I19)</totalsRowFormula>
    </tableColumn>
    <tableColumn id="11" xr3:uid="{7C59004E-2F93-9347-9296-6AE6FAA04D20}" name="담당자" totalsRowFunction="custom" dataDxfId="60" totalsRowDxfId="61">
      <totalsRowFormula>SUM(J3:J19)</totalsRowFormula>
    </tableColumn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BFC9C4-0423-9E42-ADE0-D7BEAFDCE450}" name="Table_C1842" displayName="Table_C1842" ref="A2:L22" totalsRowShown="0" headerRowDxfId="59" dataDxfId="58" headerRowBorderDxfId="56" tableBorderDxfId="57">
  <autoFilter ref="A2:L22" xr:uid="{6A77BC9E-A0ED-41BB-8CAC-5F3B23737EA1}"/>
  <tableColumns count="12">
    <tableColumn id="1" xr3:uid="{15238261-F1D6-DC45-841B-7DF80691811F}" name="전략코드" dataDxfId="55" dataCellStyle="표준 2"/>
    <tableColumn id="2" xr3:uid="{94F94081-186D-004B-9771-C40A9941EFAE}" name="울산과학대학교 RISE 추진전략" dataDxfId="54" dataCellStyle="표준 2"/>
    <tableColumn id="3" xr3:uid="{AF51D1B5-3AED-804A-BDC1-C7E23D5E97AD}" name="프로젝트코드" dataDxfId="53" dataCellStyle="표준 2"/>
    <tableColumn id="4" xr3:uid="{120A7A10-0807-BD44-908A-86F37F36E924}" name="울산과학대학교 RISE 추진과제" dataDxfId="52" dataCellStyle="표준 2"/>
    <tableColumn id="5" xr3:uid="{51F06FA3-4A80-BF45-B8B0-52AB2642B8BF}" name="액션플랜코드" dataDxfId="51" dataCellStyle="표준 2"/>
    <tableColumn id="6" xr3:uid="{D08A89FD-ED7B-B546-8D09-D174629C1830}" name="울산과학대학교 RISE Action Plan(*)" dataDxfId="50" dataCellStyle="표준 2"/>
    <tableColumn id="9" xr3:uid="{3367B6BA-69D3-8E4C-8628-EBBACBAACD43}" name="프로그램_x000a_코드" dataDxfId="49" dataCellStyle="표준 2"/>
    <tableColumn id="7" xr3:uid="{D812D0C4-C487-FA47-A77C-8C00EF13E001}" name="프로그램 상세" dataDxfId="48" dataCellStyle="표준 2"/>
    <tableColumn id="8" xr3:uid="{86429220-B122-3E42-9857-FF46144BD6CD}" name="사업비 예산_x000a_(천원)" dataDxfId="47" dataCellStyle="쉼표 [0] 2"/>
    <tableColumn id="11" xr3:uid="{726D3651-A44E-2145-9B79-97AFED44516A}" name="기준일 현재 _x000a_집행액_x000a_(천원)" dataDxfId="46"/>
    <tableColumn id="12" xr3:uid="{32E23BD6-854B-8D4C-8880-4658501A21D8}" name="기준일 현재 _x000a_집행율(%)" dataDxfId="45">
      <calculatedColumnFormula>IFERROR(ROUND(Table_C1842[[#This Row],[기준일 현재 
집행액
(천원)]]/Table_C1842[[#This Row],[사업비 예산
(천원)]]*100,2),"")</calculatedColumnFormula>
    </tableColumn>
    <tableColumn id="10" xr3:uid="{4C933EA3-93BD-EB4E-ACAC-14B4AEB4EE45}" name="담당자" dataDxfId="44" dataCellStyle="쉼표 [0] 2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E0DB37-DE89-A348-9C9E-B7806029F0FB}" name="Table_C184" displayName="Table_C184" ref="A2:L28" totalsRowShown="0" headerRowDxfId="43" dataDxfId="42" headerRowBorderDxfId="40" tableBorderDxfId="41">
  <autoFilter ref="A2:L28" xr:uid="{6A77BC9E-A0ED-41BB-8CAC-5F3B23737EA1}"/>
  <tableColumns count="12">
    <tableColumn id="1" xr3:uid="{7EFAB7E6-8A34-BC48-B148-DAFFCD4568AC}" name="전략코드" dataDxfId="39" dataCellStyle="표준 2"/>
    <tableColumn id="2" xr3:uid="{29C507BA-1680-3E4D-9160-2614825036A5}" name="울산과학대학교 RISE 추진전략" dataDxfId="38" dataCellStyle="표준 2"/>
    <tableColumn id="3" xr3:uid="{DE5A2645-C437-7744-BFB1-9037C3690CE7}" name="프로젝트코드" dataDxfId="37" dataCellStyle="표준 2"/>
    <tableColumn id="4" xr3:uid="{1ECE7AC1-E5D2-6942-8137-FFCC853CAA7C}" name="울산과학대학교 RISE 추진과제" dataDxfId="36" dataCellStyle="표준 2"/>
    <tableColumn id="5" xr3:uid="{E10D22B6-34B6-D441-9BEC-63473EDE47E7}" name="액션플랜코드" dataDxfId="35" dataCellStyle="표준 2"/>
    <tableColumn id="6" xr3:uid="{7B3D1F35-20B3-0C4B-B387-FBC0ED2B135F}" name="울산과학대학교 RISE Action Plan" dataDxfId="34" dataCellStyle="표준 2"/>
    <tableColumn id="9" xr3:uid="{2DBBAAB4-1333-2441-AEC5-32636D64AA9E}" name="프로그램_x000a_코드" dataDxfId="33" dataCellStyle="표준 2"/>
    <tableColumn id="7" xr3:uid="{FD92BCE6-C5AF-7D44-BD8D-5E9BB91135CC}" name="프로그램 상세" dataDxfId="32" dataCellStyle="표준 2"/>
    <tableColumn id="8" xr3:uid="{0692021D-AAC5-3C4A-936D-272F3D737242}" name="사업비 예산_x000a_(천원)" dataDxfId="31" dataCellStyle="쉼표 [0] 2"/>
    <tableColumn id="11" xr3:uid="{8D754611-CCD7-474B-A4D3-4FC6D5C5D2A4}" name="기준일 현재 _x000a_집행액_x000a_(천원)" dataDxfId="30"/>
    <tableColumn id="12" xr3:uid="{8896078D-98D1-FE4C-B550-CA56C25CE84D}" name="기준일 현재 _x000a_집행율(%)" dataDxfId="29">
      <calculatedColumnFormula>ROUND(Table_C184[[#This Row],[기준일 현재 
집행액
(천원)]]/Table_C184[[#This Row],[사업비 예산
(천원)]]*100,2)</calculatedColumnFormula>
    </tableColumn>
    <tableColumn id="10" xr3:uid="{2D894B8C-3FE7-4C4B-B7E7-8296E87D57C9}" name="담당자" dataDxfId="28" dataCellStyle="쉼표 [0] 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4-14T04:10:58.57" personId="{7C5A6F14-25F0-794B-9A6A-4217BF01B70F}" id="{AC95D06A-43F6-9448-A465-D4FF587D3A6F}">
    <text>이월금 예산</text>
  </threadedComment>
  <threadedComment ref="S2" dT="2026-04-14T04:11:18.27" personId="{7C5A6F14-25F0-794B-9A6A-4217BF01B70F}" id="{638C3933-8AE0-6647-AE10-B0116B712A3E}">
    <text>본사업비 집행금액(25' 2월)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B3E0-EBA8-4772-B456-51FE399E281C}">
  <sheetPr>
    <pageSetUpPr fitToPage="1"/>
  </sheetPr>
  <dimension ref="A1:Z261"/>
  <sheetViews>
    <sheetView topLeftCell="A6" zoomScale="85" zoomScaleNormal="85" workbookViewId="0">
      <selection activeCell="H12" sqref="H12"/>
    </sheetView>
  </sheetViews>
  <sheetFormatPr baseColWidth="10" defaultColWidth="9" defaultRowHeight="15"/>
  <cols>
    <col min="1" max="1" width="8.83203125" style="34" customWidth="1"/>
    <col min="2" max="2" width="45.83203125" style="34" customWidth="1"/>
    <col min="3" max="3" width="8.83203125" style="34" customWidth="1"/>
    <col min="4" max="4" width="45.83203125" style="34" customWidth="1"/>
    <col min="5" max="5" width="8.83203125" style="34" customWidth="1"/>
    <col min="6" max="6" width="45.83203125" style="34" customWidth="1"/>
    <col min="7" max="7" width="8.83203125" style="34" customWidth="1"/>
    <col min="8" max="8" width="51.5" style="117" customWidth="1"/>
    <col min="9" max="10" width="22.5" style="118" customWidth="1"/>
    <col min="11" max="11" width="22.5" style="373" customWidth="1"/>
    <col min="12" max="12" width="10.83203125" style="34" customWidth="1"/>
    <col min="13" max="13" width="2.6640625" style="34" hidden="1" customWidth="1"/>
    <col min="14" max="14" width="37.1640625" style="34" customWidth="1"/>
    <col min="15" max="15" width="20.5" style="34" bestFit="1" customWidth="1"/>
    <col min="16" max="16" width="20.5" style="34" customWidth="1"/>
    <col min="17" max="17" width="20.5" style="352" customWidth="1"/>
    <col min="18" max="19" width="10.83203125" style="34" customWidth="1"/>
    <col min="20" max="21" width="9" style="34"/>
    <col min="22" max="22" width="11.5" style="34" customWidth="1"/>
    <col min="23" max="24" width="9" style="34"/>
    <col min="25" max="25" width="11.33203125" style="34" bestFit="1" customWidth="1"/>
    <col min="26" max="16384" width="9" style="34"/>
  </cols>
  <sheetData>
    <row r="1" spans="1:24" ht="55" customHeight="1">
      <c r="A1" s="248" t="s">
        <v>472</v>
      </c>
      <c r="B1" s="247" t="s">
        <v>476</v>
      </c>
      <c r="C1" s="244" t="s">
        <v>472</v>
      </c>
      <c r="D1" s="245" t="s">
        <v>473</v>
      </c>
      <c r="E1" s="246" t="s">
        <v>474</v>
      </c>
      <c r="F1" s="247" t="s">
        <v>475</v>
      </c>
      <c r="G1" s="378" t="s">
        <v>491</v>
      </c>
      <c r="H1" s="379"/>
      <c r="I1" s="379"/>
      <c r="J1" s="379"/>
      <c r="K1" s="379"/>
      <c r="L1" s="380"/>
      <c r="N1" s="381" t="s">
        <v>496</v>
      </c>
      <c r="O1" s="382"/>
      <c r="P1" s="382"/>
      <c r="Q1" s="382"/>
      <c r="R1" s="382"/>
      <c r="S1" s="245"/>
    </row>
    <row r="2" spans="1:24" ht="54">
      <c r="A2" s="120" t="s">
        <v>27</v>
      </c>
      <c r="B2" s="121" t="s">
        <v>341</v>
      </c>
      <c r="C2" s="122" t="s">
        <v>28</v>
      </c>
      <c r="D2" s="122" t="s">
        <v>1</v>
      </c>
      <c r="E2" s="123" t="s">
        <v>29</v>
      </c>
      <c r="F2" s="123" t="s">
        <v>13</v>
      </c>
      <c r="G2" s="124" t="s">
        <v>30</v>
      </c>
      <c r="H2" s="306" t="s">
        <v>494</v>
      </c>
      <c r="I2" s="307" t="s">
        <v>495</v>
      </c>
      <c r="J2" s="307" t="s">
        <v>492</v>
      </c>
      <c r="K2" s="358" t="s">
        <v>489</v>
      </c>
      <c r="L2" s="305" t="s">
        <v>488</v>
      </c>
      <c r="N2" s="125" t="s">
        <v>494</v>
      </c>
      <c r="O2" s="125" t="s">
        <v>495</v>
      </c>
      <c r="P2" s="313" t="s">
        <v>493</v>
      </c>
      <c r="Q2" s="341" t="s">
        <v>490</v>
      </c>
      <c r="R2" s="125" t="s">
        <v>35</v>
      </c>
      <c r="S2" s="314" t="s">
        <v>99</v>
      </c>
    </row>
    <row r="3" spans="1:24" s="135" customFormat="1" ht="44.25" customHeight="1">
      <c r="A3" s="126" t="s">
        <v>2</v>
      </c>
      <c r="B3" s="127" t="s">
        <v>342</v>
      </c>
      <c r="C3" s="128" t="s">
        <v>3</v>
      </c>
      <c r="D3" s="129" t="s">
        <v>343</v>
      </c>
      <c r="E3" s="130" t="s">
        <v>11</v>
      </c>
      <c r="F3" s="131" t="s">
        <v>344</v>
      </c>
      <c r="G3" s="132" t="s">
        <v>311</v>
      </c>
      <c r="H3" s="326" t="s">
        <v>345</v>
      </c>
      <c r="I3" s="327">
        <v>12000</v>
      </c>
      <c r="J3" s="327"/>
      <c r="K3" s="366">
        <f>Table_C18[[#This Row],[기준일 현재 
집행액
(천원)]]/Table_C18[[#This Row],[사업비 예산
(천원)]]</f>
        <v>0</v>
      </c>
      <c r="L3" s="134" t="s">
        <v>346</v>
      </c>
      <c r="N3" s="133"/>
      <c r="O3" s="136"/>
      <c r="P3" s="136"/>
      <c r="Q3" s="342"/>
      <c r="R3" s="134"/>
      <c r="S3" s="136"/>
    </row>
    <row r="4" spans="1:24" s="135" customFormat="1" ht="44.25" customHeight="1">
      <c r="A4" s="126" t="s">
        <v>2</v>
      </c>
      <c r="B4" s="127" t="s">
        <v>342</v>
      </c>
      <c r="C4" s="137" t="s">
        <v>46</v>
      </c>
      <c r="D4" s="138" t="s">
        <v>348</v>
      </c>
      <c r="E4" s="139" t="s">
        <v>12</v>
      </c>
      <c r="F4" s="140" t="s">
        <v>349</v>
      </c>
      <c r="G4" s="141" t="s">
        <v>39</v>
      </c>
      <c r="H4" s="328" t="s">
        <v>350</v>
      </c>
      <c r="I4" s="329">
        <v>202000</v>
      </c>
      <c r="J4" s="329"/>
      <c r="K4" s="367">
        <f>Table_C18[[#This Row],[기준일 현재 
집행액
(천원)]]/Table_C18[[#This Row],[사업비 예산
(천원)]]</f>
        <v>0</v>
      </c>
      <c r="L4" s="142" t="s">
        <v>347</v>
      </c>
      <c r="N4" s="138"/>
      <c r="O4" s="142"/>
      <c r="P4" s="142">
        <v>0</v>
      </c>
      <c r="Q4" s="343"/>
      <c r="R4" s="324"/>
      <c r="S4" s="142"/>
    </row>
    <row r="5" spans="1:24" s="135" customFormat="1" ht="80">
      <c r="A5" s="126" t="s">
        <v>2</v>
      </c>
      <c r="B5" s="127" t="s">
        <v>342</v>
      </c>
      <c r="C5" s="137" t="s">
        <v>46</v>
      </c>
      <c r="D5" s="138" t="s">
        <v>348</v>
      </c>
      <c r="E5" s="139" t="s">
        <v>12</v>
      </c>
      <c r="F5" s="140" t="s">
        <v>349</v>
      </c>
      <c r="G5" s="132" t="s">
        <v>40</v>
      </c>
      <c r="H5" s="326" t="s">
        <v>509</v>
      </c>
      <c r="I5" s="327">
        <v>20000</v>
      </c>
      <c r="J5" s="327"/>
      <c r="K5" s="366">
        <f>Table_C18[[#This Row],[기준일 현재 
집행액
(천원)]]/Table_C18[[#This Row],[사업비 예산
(천원)]]</f>
        <v>0</v>
      </c>
      <c r="L5" s="134" t="s">
        <v>347</v>
      </c>
      <c r="N5" s="331"/>
      <c r="O5" s="331"/>
      <c r="P5" s="331">
        <v>0</v>
      </c>
      <c r="Q5" s="331"/>
      <c r="R5" s="331"/>
      <c r="S5" s="331"/>
    </row>
    <row r="6" spans="1:24" s="135" customFormat="1" ht="80">
      <c r="A6" s="126" t="s">
        <v>2</v>
      </c>
      <c r="B6" s="127" t="s">
        <v>342</v>
      </c>
      <c r="C6" s="137" t="s">
        <v>46</v>
      </c>
      <c r="D6" s="138" t="s">
        <v>348</v>
      </c>
      <c r="E6" s="139" t="s">
        <v>12</v>
      </c>
      <c r="F6" s="140" t="s">
        <v>349</v>
      </c>
      <c r="G6" s="141" t="s">
        <v>43</v>
      </c>
      <c r="H6" s="328" t="s">
        <v>351</v>
      </c>
      <c r="I6" s="329">
        <v>20000</v>
      </c>
      <c r="J6" s="329"/>
      <c r="K6" s="367">
        <f>Table_C18[[#This Row],[기준일 현재 
집행액
(천원)]]/Table_C18[[#This Row],[사업비 예산
(천원)]]</f>
        <v>0</v>
      </c>
      <c r="L6" s="142" t="s">
        <v>347</v>
      </c>
      <c r="N6" s="330"/>
      <c r="O6" s="330"/>
      <c r="P6" s="330"/>
      <c r="Q6" s="330"/>
      <c r="R6" s="330"/>
      <c r="S6" s="330"/>
    </row>
    <row r="7" spans="1:24" s="135" customFormat="1" ht="80">
      <c r="A7" s="126" t="s">
        <v>2</v>
      </c>
      <c r="B7" s="127" t="s">
        <v>342</v>
      </c>
      <c r="C7" s="137" t="s">
        <v>46</v>
      </c>
      <c r="D7" s="138" t="s">
        <v>348</v>
      </c>
      <c r="E7" s="139" t="s">
        <v>12</v>
      </c>
      <c r="F7" s="140" t="s">
        <v>349</v>
      </c>
      <c r="G7" s="132" t="s">
        <v>355</v>
      </c>
      <c r="H7" s="326" t="s">
        <v>510</v>
      </c>
      <c r="I7" s="327">
        <v>12000</v>
      </c>
      <c r="J7" s="327"/>
      <c r="K7" s="366">
        <f>Table_C18[[#This Row],[기준일 현재 
집행액
(천원)]]/Table_C18[[#This Row],[사업비 예산
(천원)]]</f>
        <v>0</v>
      </c>
      <c r="L7" s="134"/>
      <c r="N7" s="143"/>
      <c r="O7" s="134"/>
      <c r="P7" s="134"/>
      <c r="Q7" s="344"/>
      <c r="R7" s="136"/>
      <c r="S7" s="134"/>
    </row>
    <row r="8" spans="1:24" s="135" customFormat="1" ht="80">
      <c r="A8" s="126" t="s">
        <v>2</v>
      </c>
      <c r="B8" s="127" t="s">
        <v>342</v>
      </c>
      <c r="C8" s="137" t="s">
        <v>46</v>
      </c>
      <c r="D8" s="138" t="s">
        <v>348</v>
      </c>
      <c r="E8" s="139" t="s">
        <v>12</v>
      </c>
      <c r="F8" s="140" t="s">
        <v>349</v>
      </c>
      <c r="G8" s="141" t="s">
        <v>508</v>
      </c>
      <c r="H8" s="328" t="s">
        <v>352</v>
      </c>
      <c r="I8" s="329">
        <v>20000</v>
      </c>
      <c r="J8" s="329"/>
      <c r="K8" s="367">
        <f>Table_C18[[#This Row],[기준일 현재 
집행액
(천원)]]/Table_C18[[#This Row],[사업비 예산
(천원)]]</f>
        <v>0</v>
      </c>
      <c r="L8" s="142" t="s">
        <v>353</v>
      </c>
      <c r="N8" s="138" t="s">
        <v>497</v>
      </c>
      <c r="O8" s="142">
        <v>2900</v>
      </c>
      <c r="P8" s="142">
        <v>2600</v>
      </c>
      <c r="Q8" s="343">
        <f>P8/O8</f>
        <v>0.89655172413793105</v>
      </c>
      <c r="R8" s="324" t="s">
        <v>353</v>
      </c>
      <c r="S8" s="142">
        <f t="shared" ref="S8:S34" si="0">O8-P8</f>
        <v>300</v>
      </c>
    </row>
    <row r="9" spans="1:24" s="135" customFormat="1" ht="80">
      <c r="A9" s="126" t="s">
        <v>2</v>
      </c>
      <c r="B9" s="127" t="s">
        <v>342</v>
      </c>
      <c r="C9" s="137" t="s">
        <v>46</v>
      </c>
      <c r="D9" s="138" t="s">
        <v>348</v>
      </c>
      <c r="E9" s="139" t="s">
        <v>12</v>
      </c>
      <c r="F9" s="140" t="s">
        <v>349</v>
      </c>
      <c r="G9" s="132" t="s">
        <v>511</v>
      </c>
      <c r="H9" s="326" t="s">
        <v>356</v>
      </c>
      <c r="I9" s="327">
        <v>100000</v>
      </c>
      <c r="J9" s="327"/>
      <c r="K9" s="366">
        <f>Table_C18[[#This Row],[기준일 현재 
집행액
(천원)]]/Table_C18[[#This Row],[사업비 예산
(천원)]]</f>
        <v>0</v>
      </c>
      <c r="L9" s="134" t="s">
        <v>347</v>
      </c>
      <c r="N9" s="143"/>
      <c r="O9" s="134"/>
      <c r="P9" s="134"/>
      <c r="Q9" s="344"/>
      <c r="R9" s="136"/>
      <c r="S9" s="134"/>
    </row>
    <row r="10" spans="1:24" s="135" customFormat="1" ht="30" customHeight="1">
      <c r="A10" s="126" t="s">
        <v>2</v>
      </c>
      <c r="B10" s="127" t="s">
        <v>342</v>
      </c>
      <c r="C10" s="137" t="s">
        <v>46</v>
      </c>
      <c r="D10" s="138" t="s">
        <v>348</v>
      </c>
      <c r="E10" s="144" t="s">
        <v>14</v>
      </c>
      <c r="F10" s="145" t="s">
        <v>357</v>
      </c>
      <c r="G10" s="141" t="s">
        <v>44</v>
      </c>
      <c r="H10" s="330" t="s">
        <v>358</v>
      </c>
      <c r="I10" s="329">
        <v>45000</v>
      </c>
      <c r="J10" s="329"/>
      <c r="K10" s="367">
        <f>Table_C18[[#This Row],[기준일 현재 
집행액
(천원)]]/Table_C18[[#This Row],[사업비 예산
(천원)]]</f>
        <v>0</v>
      </c>
      <c r="L10" s="142" t="s">
        <v>347</v>
      </c>
      <c r="N10" s="138"/>
      <c r="O10" s="142"/>
      <c r="P10" s="146"/>
      <c r="Q10" s="345"/>
      <c r="R10" s="324"/>
      <c r="S10" s="146"/>
      <c r="X10" s="135">
        <f>70+60+42+30</f>
        <v>202</v>
      </c>
    </row>
    <row r="11" spans="1:24" s="135" customFormat="1" ht="30" customHeight="1">
      <c r="A11" s="137" t="s">
        <v>5</v>
      </c>
      <c r="B11" s="138" t="s">
        <v>359</v>
      </c>
      <c r="C11" s="128" t="s">
        <v>54</v>
      </c>
      <c r="D11" s="129" t="s">
        <v>360</v>
      </c>
      <c r="E11" s="137" t="s">
        <v>15</v>
      </c>
      <c r="F11" s="147" t="s">
        <v>361</v>
      </c>
      <c r="G11" s="132" t="s">
        <v>47</v>
      </c>
      <c r="H11" s="326" t="s">
        <v>362</v>
      </c>
      <c r="I11" s="327">
        <v>0</v>
      </c>
      <c r="J11" s="327"/>
      <c r="K11" s="366"/>
      <c r="L11" s="134" t="s">
        <v>354</v>
      </c>
      <c r="N11" s="148"/>
      <c r="O11" s="149"/>
      <c r="P11" s="149"/>
      <c r="Q11" s="346"/>
      <c r="R11" s="136"/>
      <c r="S11" s="149"/>
    </row>
    <row r="12" spans="1:24" s="135" customFormat="1" ht="30" customHeight="1">
      <c r="A12" s="137" t="s">
        <v>5</v>
      </c>
      <c r="B12" s="138" t="s">
        <v>359</v>
      </c>
      <c r="C12" s="137" t="s">
        <v>109</v>
      </c>
      <c r="D12" s="150" t="s">
        <v>363</v>
      </c>
      <c r="E12" s="144" t="s">
        <v>16</v>
      </c>
      <c r="F12" s="145" t="s">
        <v>364</v>
      </c>
      <c r="G12" s="141" t="s">
        <v>212</v>
      </c>
      <c r="H12" s="330" t="s">
        <v>365</v>
      </c>
      <c r="I12" s="329">
        <v>10000</v>
      </c>
      <c r="J12" s="329"/>
      <c r="K12" s="367">
        <f>Table_C18[[#This Row],[기준일 현재 
집행액
(천원)]]/Table_C18[[#This Row],[사업비 예산
(천원)]]</f>
        <v>0</v>
      </c>
      <c r="L12" s="142" t="s">
        <v>354</v>
      </c>
      <c r="N12" s="151"/>
      <c r="O12" s="152"/>
      <c r="P12" s="152"/>
      <c r="Q12" s="347"/>
      <c r="R12" s="324"/>
      <c r="S12" s="152"/>
    </row>
    <row r="13" spans="1:24" s="135" customFormat="1" ht="30" customHeight="1">
      <c r="A13" s="126" t="s">
        <v>26</v>
      </c>
      <c r="B13" s="127" t="s">
        <v>366</v>
      </c>
      <c r="C13" s="128" t="s">
        <v>62</v>
      </c>
      <c r="D13" s="129" t="s">
        <v>367</v>
      </c>
      <c r="E13" s="137" t="s">
        <v>17</v>
      </c>
      <c r="F13" s="147" t="s">
        <v>368</v>
      </c>
      <c r="G13" s="132" t="s">
        <v>318</v>
      </c>
      <c r="H13" s="331" t="s">
        <v>369</v>
      </c>
      <c r="I13" s="327">
        <v>60000</v>
      </c>
      <c r="J13" s="327"/>
      <c r="K13" s="366">
        <f>Table_C18[[#This Row],[기준일 현재 
집행액
(천원)]]/Table_C18[[#This Row],[사업비 예산
(천원)]]</f>
        <v>0</v>
      </c>
      <c r="L13" s="134" t="s">
        <v>353</v>
      </c>
      <c r="N13" s="143" t="s">
        <v>499</v>
      </c>
      <c r="O13" s="134">
        <v>6000</v>
      </c>
      <c r="P13" s="134">
        <v>5229</v>
      </c>
      <c r="Q13" s="344">
        <f>P13/O13</f>
        <v>0.87150000000000005</v>
      </c>
      <c r="R13" s="136" t="s">
        <v>354</v>
      </c>
      <c r="S13" s="134">
        <f t="shared" si="0"/>
        <v>771</v>
      </c>
    </row>
    <row r="14" spans="1:24" s="135" customFormat="1" ht="30" customHeight="1">
      <c r="A14" s="126" t="s">
        <v>26</v>
      </c>
      <c r="B14" s="127" t="s">
        <v>366</v>
      </c>
      <c r="C14" s="128" t="s">
        <v>62</v>
      </c>
      <c r="D14" s="129" t="s">
        <v>367</v>
      </c>
      <c r="E14" s="137" t="s">
        <v>17</v>
      </c>
      <c r="F14" s="147" t="s">
        <v>368</v>
      </c>
      <c r="G14" s="141" t="s">
        <v>70</v>
      </c>
      <c r="H14" s="330" t="s">
        <v>370</v>
      </c>
      <c r="I14" s="329">
        <v>40000</v>
      </c>
      <c r="J14" s="329"/>
      <c r="K14" s="367">
        <f>Table_C18[[#This Row],[기준일 현재 
집행액
(천원)]]/Table_C18[[#This Row],[사업비 예산
(천원)]]</f>
        <v>0</v>
      </c>
      <c r="L14" s="142" t="s">
        <v>347</v>
      </c>
      <c r="N14" s="138" t="s">
        <v>507</v>
      </c>
      <c r="O14" s="142">
        <v>61500</v>
      </c>
      <c r="P14" s="142">
        <v>0</v>
      </c>
      <c r="Q14" s="343">
        <f>P14/O14</f>
        <v>0</v>
      </c>
      <c r="R14" s="324" t="s">
        <v>347</v>
      </c>
      <c r="S14" s="142"/>
    </row>
    <row r="15" spans="1:24" s="135" customFormat="1" ht="30" customHeight="1">
      <c r="A15" s="126" t="s">
        <v>26</v>
      </c>
      <c r="B15" s="127" t="s">
        <v>366</v>
      </c>
      <c r="C15" s="128" t="s">
        <v>62</v>
      </c>
      <c r="D15" s="129" t="s">
        <v>367</v>
      </c>
      <c r="E15" s="144" t="s">
        <v>18</v>
      </c>
      <c r="F15" s="145" t="s">
        <v>371</v>
      </c>
      <c r="G15" s="132" t="s">
        <v>72</v>
      </c>
      <c r="H15" s="331" t="s">
        <v>372</v>
      </c>
      <c r="I15" s="327">
        <v>15000</v>
      </c>
      <c r="J15" s="327"/>
      <c r="K15" s="366">
        <f>Table_C18[[#This Row],[기준일 현재 
집행액
(천원)]]/Table_C18[[#This Row],[사업비 예산
(천원)]]</f>
        <v>0</v>
      </c>
      <c r="L15" s="134" t="s">
        <v>347</v>
      </c>
      <c r="N15" s="143" t="s">
        <v>527</v>
      </c>
      <c r="O15" s="134">
        <v>19800</v>
      </c>
      <c r="P15" s="142">
        <v>0</v>
      </c>
      <c r="Q15" s="343">
        <f>P15/O15</f>
        <v>0</v>
      </c>
      <c r="R15" s="136"/>
      <c r="S15" s="134"/>
    </row>
    <row r="16" spans="1:24" s="135" customFormat="1" ht="30" customHeight="1">
      <c r="A16" s="126" t="s">
        <v>26</v>
      </c>
      <c r="B16" s="127" t="s">
        <v>366</v>
      </c>
      <c r="C16" s="128" t="s">
        <v>62</v>
      </c>
      <c r="D16" s="129" t="s">
        <v>367</v>
      </c>
      <c r="E16" s="144" t="s">
        <v>18</v>
      </c>
      <c r="F16" s="145" t="s">
        <v>371</v>
      </c>
      <c r="G16" s="141" t="s">
        <v>73</v>
      </c>
      <c r="H16" s="330" t="s">
        <v>373</v>
      </c>
      <c r="I16" s="329">
        <v>4000</v>
      </c>
      <c r="J16" s="329"/>
      <c r="K16" s="367">
        <f>Table_C18[[#This Row],[기준일 현재 
집행액
(천원)]]/Table_C18[[#This Row],[사업비 예산
(천원)]]</f>
        <v>0</v>
      </c>
      <c r="L16" s="142" t="s">
        <v>346</v>
      </c>
      <c r="N16" s="138"/>
      <c r="O16" s="142"/>
      <c r="P16" s="142"/>
      <c r="Q16" s="343"/>
      <c r="R16" s="324"/>
      <c r="S16" s="142"/>
    </row>
    <row r="17" spans="1:26" s="135" customFormat="1" ht="30" customHeight="1">
      <c r="A17" s="126" t="s">
        <v>26</v>
      </c>
      <c r="B17" s="127" t="s">
        <v>366</v>
      </c>
      <c r="C17" s="137" t="s">
        <v>63</v>
      </c>
      <c r="D17" s="138" t="s">
        <v>375</v>
      </c>
      <c r="E17" s="137" t="s">
        <v>19</v>
      </c>
      <c r="F17" s="147" t="s">
        <v>376</v>
      </c>
      <c r="G17" s="132" t="s">
        <v>74</v>
      </c>
      <c r="H17" s="331" t="s">
        <v>377</v>
      </c>
      <c r="I17" s="327">
        <v>50000</v>
      </c>
      <c r="J17" s="327"/>
      <c r="K17" s="366">
        <f>Table_C18[[#This Row],[기준일 현재 
집행액
(천원)]]/Table_C18[[#This Row],[사업비 예산
(천원)]]</f>
        <v>0</v>
      </c>
      <c r="L17" s="134" t="s">
        <v>347</v>
      </c>
      <c r="N17" s="148"/>
      <c r="O17" s="149"/>
      <c r="P17" s="149"/>
      <c r="Q17" s="346"/>
      <c r="R17" s="136"/>
      <c r="S17" s="149"/>
    </row>
    <row r="18" spans="1:26" s="135" customFormat="1" ht="48">
      <c r="A18" s="126" t="s">
        <v>26</v>
      </c>
      <c r="B18" s="127" t="s">
        <v>366</v>
      </c>
      <c r="C18" s="137" t="s">
        <v>63</v>
      </c>
      <c r="D18" s="138" t="s">
        <v>375</v>
      </c>
      <c r="E18" s="144" t="s">
        <v>20</v>
      </c>
      <c r="F18" s="145" t="s">
        <v>378</v>
      </c>
      <c r="G18" s="141" t="s">
        <v>77</v>
      </c>
      <c r="H18" s="330" t="s">
        <v>379</v>
      </c>
      <c r="I18" s="329">
        <v>90000</v>
      </c>
      <c r="J18" s="329"/>
      <c r="K18" s="367">
        <f>Table_C18[[#This Row],[기준일 현재 
집행액
(천원)]]/Table_C18[[#This Row],[사업비 예산
(천원)]]</f>
        <v>0</v>
      </c>
      <c r="L18" s="142" t="s">
        <v>346</v>
      </c>
      <c r="N18" s="138"/>
      <c r="O18" s="142"/>
      <c r="P18" s="142"/>
      <c r="Q18" s="343"/>
      <c r="R18" s="324"/>
      <c r="S18" s="142"/>
    </row>
    <row r="19" spans="1:26" s="135" customFormat="1" ht="48">
      <c r="A19" s="126" t="s">
        <v>26</v>
      </c>
      <c r="B19" s="127" t="s">
        <v>366</v>
      </c>
      <c r="C19" s="137" t="s">
        <v>63</v>
      </c>
      <c r="D19" s="138" t="s">
        <v>375</v>
      </c>
      <c r="E19" s="144" t="s">
        <v>20</v>
      </c>
      <c r="F19" s="145" t="s">
        <v>378</v>
      </c>
      <c r="G19" s="132" t="s">
        <v>78</v>
      </c>
      <c r="H19" s="331" t="s">
        <v>380</v>
      </c>
      <c r="I19" s="327">
        <v>4000</v>
      </c>
      <c r="J19" s="327"/>
      <c r="K19" s="366">
        <f>Table_C18[[#This Row],[기준일 현재 
집행액
(천원)]]/Table_C18[[#This Row],[사업비 예산
(천원)]]</f>
        <v>0</v>
      </c>
      <c r="L19" s="134" t="s">
        <v>346</v>
      </c>
      <c r="N19" s="143"/>
      <c r="O19" s="134"/>
      <c r="P19" s="134"/>
      <c r="Q19" s="344"/>
      <c r="R19" s="136"/>
      <c r="S19" s="134"/>
    </row>
    <row r="20" spans="1:26" s="135" customFormat="1" ht="48">
      <c r="A20" s="126" t="s">
        <v>26</v>
      </c>
      <c r="B20" s="127" t="s">
        <v>366</v>
      </c>
      <c r="C20" s="137" t="s">
        <v>63</v>
      </c>
      <c r="D20" s="138" t="s">
        <v>375</v>
      </c>
      <c r="E20" s="144" t="s">
        <v>20</v>
      </c>
      <c r="F20" s="145" t="s">
        <v>378</v>
      </c>
      <c r="G20" s="141" t="s">
        <v>79</v>
      </c>
      <c r="H20" s="330" t="s">
        <v>515</v>
      </c>
      <c r="I20" s="329">
        <v>10000</v>
      </c>
      <c r="J20" s="329"/>
      <c r="K20" s="367">
        <f>Table_C18[[#This Row],[기준일 현재 
집행액
(천원)]]/Table_C18[[#This Row],[사업비 예산
(천원)]]</f>
        <v>0</v>
      </c>
      <c r="L20" s="142" t="s">
        <v>346</v>
      </c>
      <c r="N20" s="138"/>
      <c r="O20" s="142"/>
      <c r="P20" s="142"/>
      <c r="Q20" s="343"/>
      <c r="R20" s="324"/>
      <c r="S20" s="142"/>
    </row>
    <row r="21" spans="1:26" s="135" customFormat="1" ht="30" customHeight="1">
      <c r="A21" s="137" t="s">
        <v>8</v>
      </c>
      <c r="B21" s="138" t="s">
        <v>381</v>
      </c>
      <c r="C21" s="128" t="s">
        <v>9</v>
      </c>
      <c r="D21" s="129" t="s">
        <v>382</v>
      </c>
      <c r="E21" s="137" t="s">
        <v>21</v>
      </c>
      <c r="F21" s="147" t="s">
        <v>383</v>
      </c>
      <c r="G21" s="141" t="s">
        <v>80</v>
      </c>
      <c r="H21" s="330" t="s">
        <v>384</v>
      </c>
      <c r="I21" s="329">
        <v>300000</v>
      </c>
      <c r="J21" s="329"/>
      <c r="K21" s="367">
        <f>Table_C18[[#This Row],[기준일 현재 
집행액
(천원)]]/Table_C18[[#This Row],[사업비 예산
(천원)]]</f>
        <v>0</v>
      </c>
      <c r="L21" s="142" t="s">
        <v>354</v>
      </c>
      <c r="N21" s="138" t="s">
        <v>102</v>
      </c>
      <c r="O21" s="142">
        <v>95800</v>
      </c>
      <c r="P21" s="142">
        <v>24771</v>
      </c>
      <c r="Q21" s="343">
        <f>P21/O21</f>
        <v>0.25856993736951983</v>
      </c>
      <c r="R21" s="324" t="s">
        <v>354</v>
      </c>
      <c r="S21" s="142">
        <f t="shared" si="0"/>
        <v>71029</v>
      </c>
      <c r="V21" s="153">
        <f>SUM(O21,O23)</f>
        <v>95800</v>
      </c>
      <c r="W21" s="154">
        <f>(V21/2400000)*100</f>
        <v>3.9916666666666671</v>
      </c>
      <c r="Y21" s="153">
        <f>SUM(V21,V23)</f>
        <v>412181</v>
      </c>
      <c r="Z21" s="154">
        <f>(Y21/2400000)*100</f>
        <v>17.174208333333333</v>
      </c>
    </row>
    <row r="22" spans="1:26" s="135" customFormat="1" ht="30" customHeight="1">
      <c r="A22" s="137" t="s">
        <v>8</v>
      </c>
      <c r="B22" s="138" t="s">
        <v>381</v>
      </c>
      <c r="C22" s="128" t="s">
        <v>9</v>
      </c>
      <c r="D22" s="129" t="s">
        <v>382</v>
      </c>
      <c r="E22" s="137" t="s">
        <v>21</v>
      </c>
      <c r="F22" s="147" t="s">
        <v>383</v>
      </c>
      <c r="G22" s="375"/>
      <c r="H22" s="138"/>
      <c r="I22" s="376"/>
      <c r="J22" s="338"/>
      <c r="K22" s="368" t="e">
        <f>Table_C18[[#This Row],[기준일 현재 
집행액
(천원)]]/Table_C18[[#This Row],[사업비 예산
(천원)]]</f>
        <v>#DIV/0!</v>
      </c>
      <c r="L22" s="213"/>
      <c r="N22" s="138" t="s">
        <v>526</v>
      </c>
      <c r="O22" s="142">
        <v>15000</v>
      </c>
      <c r="P22" s="142">
        <v>0</v>
      </c>
      <c r="Q22" s="343">
        <f>P22/O22</f>
        <v>0</v>
      </c>
      <c r="R22" s="324" t="s">
        <v>354</v>
      </c>
      <c r="S22" s="142">
        <f t="shared" si="0"/>
        <v>15000</v>
      </c>
      <c r="V22" s="153"/>
      <c r="W22" s="154"/>
      <c r="Y22" s="153"/>
      <c r="Z22" s="154"/>
    </row>
    <row r="23" spans="1:26" s="135" customFormat="1" ht="30" customHeight="1">
      <c r="A23" s="137" t="s">
        <v>8</v>
      </c>
      <c r="B23" s="138" t="s">
        <v>381</v>
      </c>
      <c r="C23" s="128" t="s">
        <v>9</v>
      </c>
      <c r="D23" s="129" t="s">
        <v>382</v>
      </c>
      <c r="E23" s="137" t="s">
        <v>21</v>
      </c>
      <c r="F23" s="147" t="s">
        <v>383</v>
      </c>
      <c r="G23" s="132" t="s">
        <v>81</v>
      </c>
      <c r="H23" s="331" t="s">
        <v>385</v>
      </c>
      <c r="I23" s="327">
        <v>50000</v>
      </c>
      <c r="J23" s="327">
        <v>21000</v>
      </c>
      <c r="K23" s="366">
        <f>Table_C18[[#This Row],[기준일 현재 
집행액
(천원)]]/Table_C18[[#This Row],[사업비 예산
(천원)]]</f>
        <v>0.42</v>
      </c>
      <c r="L23" s="134" t="s">
        <v>354</v>
      </c>
      <c r="N23" s="143"/>
      <c r="O23" s="134"/>
      <c r="P23" s="134"/>
      <c r="Q23" s="344"/>
      <c r="R23" s="136"/>
      <c r="S23" s="134"/>
      <c r="V23" s="153">
        <f>O25</f>
        <v>316381</v>
      </c>
      <c r="W23" s="154">
        <f>(V23/2400000)*100</f>
        <v>13.182541666666667</v>
      </c>
    </row>
    <row r="24" spans="1:26" s="135" customFormat="1" ht="30" customHeight="1">
      <c r="A24" s="137" t="s">
        <v>8</v>
      </c>
      <c r="B24" s="138" t="s">
        <v>381</v>
      </c>
      <c r="C24" s="128" t="s">
        <v>9</v>
      </c>
      <c r="D24" s="129" t="s">
        <v>382</v>
      </c>
      <c r="E24" s="137" t="s">
        <v>21</v>
      </c>
      <c r="F24" s="147" t="s">
        <v>383</v>
      </c>
      <c r="G24" s="141" t="s">
        <v>82</v>
      </c>
      <c r="H24" s="330" t="s">
        <v>386</v>
      </c>
      <c r="I24" s="329">
        <v>20000</v>
      </c>
      <c r="J24" s="329"/>
      <c r="K24" s="367">
        <f>Table_C18[[#This Row],[기준일 현재 
집행액
(천원)]]/Table_C18[[#This Row],[사업비 예산
(천원)]]</f>
        <v>0</v>
      </c>
      <c r="L24" s="142" t="s">
        <v>354</v>
      </c>
      <c r="N24" s="138" t="s">
        <v>387</v>
      </c>
      <c r="O24" s="142">
        <v>91000</v>
      </c>
      <c r="P24" s="142"/>
      <c r="Q24" s="343">
        <f>P24/O24</f>
        <v>0</v>
      </c>
      <c r="R24" s="324" t="s">
        <v>354</v>
      </c>
      <c r="S24" s="142">
        <f t="shared" si="0"/>
        <v>91000</v>
      </c>
    </row>
    <row r="25" spans="1:26" s="135" customFormat="1" ht="30" customHeight="1">
      <c r="A25" s="137" t="s">
        <v>8</v>
      </c>
      <c r="B25" s="138" t="s">
        <v>381</v>
      </c>
      <c r="C25" s="128" t="s">
        <v>9</v>
      </c>
      <c r="D25" s="129" t="s">
        <v>382</v>
      </c>
      <c r="E25" s="137" t="s">
        <v>21</v>
      </c>
      <c r="F25" s="147" t="s">
        <v>383</v>
      </c>
      <c r="G25" s="132" t="s">
        <v>388</v>
      </c>
      <c r="H25" s="331" t="s">
        <v>389</v>
      </c>
      <c r="I25" s="327">
        <v>546000</v>
      </c>
      <c r="J25" s="327">
        <v>10197</v>
      </c>
      <c r="K25" s="366">
        <f>Table_C18[[#This Row],[기준일 현재 
집행액
(천원)]]/Table_C18[[#This Row],[사업비 예산
(천원)]]</f>
        <v>1.8675824175824175E-2</v>
      </c>
      <c r="L25" s="134" t="s">
        <v>354</v>
      </c>
      <c r="N25" s="143" t="s">
        <v>389</v>
      </c>
      <c r="O25" s="134">
        <v>316381</v>
      </c>
      <c r="P25" s="134">
        <v>51347</v>
      </c>
      <c r="Q25" s="344">
        <f>P25/O25</f>
        <v>0.16229482807121792</v>
      </c>
      <c r="R25" s="136" t="s">
        <v>354</v>
      </c>
      <c r="S25" s="134">
        <f t="shared" si="0"/>
        <v>265034</v>
      </c>
      <c r="V25" s="153">
        <f>SUM(I21)</f>
        <v>300000</v>
      </c>
      <c r="W25" s="154">
        <f>(V25/2200000)*100</f>
        <v>13.636363636363635</v>
      </c>
      <c r="Y25" s="153">
        <f>SUM(V25,V26)</f>
        <v>916000</v>
      </c>
      <c r="Z25" s="154">
        <f>(Y25/2200000)*100</f>
        <v>41.63636363636364</v>
      </c>
    </row>
    <row r="26" spans="1:26" s="135" customFormat="1" ht="30" customHeight="1">
      <c r="A26" s="137" t="s">
        <v>8</v>
      </c>
      <c r="B26" s="138" t="s">
        <v>381</v>
      </c>
      <c r="C26" s="128" t="s">
        <v>64</v>
      </c>
      <c r="D26" s="129" t="s">
        <v>390</v>
      </c>
      <c r="E26" s="144" t="s">
        <v>22</v>
      </c>
      <c r="F26" s="145" t="s">
        <v>391</v>
      </c>
      <c r="G26" s="141" t="s">
        <v>83</v>
      </c>
      <c r="H26" s="330" t="s">
        <v>362</v>
      </c>
      <c r="I26" s="329">
        <v>15000</v>
      </c>
      <c r="J26" s="329"/>
      <c r="K26" s="367">
        <f>Table_C18[[#This Row],[기준일 현재 
집행액
(천원)]]/Table_C18[[#This Row],[사업비 예산
(천원)]]</f>
        <v>0</v>
      </c>
      <c r="L26" s="142" t="s">
        <v>354</v>
      </c>
      <c r="N26" s="138"/>
      <c r="O26" s="142"/>
      <c r="P26" s="142"/>
      <c r="Q26" s="343"/>
      <c r="R26" s="324"/>
      <c r="S26" s="142"/>
      <c r="V26" s="153">
        <f>SUM(I23,I24,I25)</f>
        <v>616000</v>
      </c>
      <c r="W26" s="154">
        <f>(V26/2200000)*100</f>
        <v>28.000000000000004</v>
      </c>
    </row>
    <row r="27" spans="1:26" s="135" customFormat="1" ht="82.25" customHeight="1">
      <c r="A27" s="137" t="s">
        <v>8</v>
      </c>
      <c r="B27" s="138" t="s">
        <v>381</v>
      </c>
      <c r="C27" s="137" t="s">
        <v>65</v>
      </c>
      <c r="D27" s="138" t="s">
        <v>392</v>
      </c>
      <c r="E27" s="137" t="s">
        <v>23</v>
      </c>
      <c r="F27" s="147" t="s">
        <v>393</v>
      </c>
      <c r="G27" s="132" t="s">
        <v>85</v>
      </c>
      <c r="H27" s="331" t="s">
        <v>394</v>
      </c>
      <c r="I27" s="327">
        <v>60000</v>
      </c>
      <c r="J27" s="327"/>
      <c r="K27" s="366">
        <f>Table_C18[[#This Row],[기준일 현재 
집행액
(천원)]]/Table_C18[[#This Row],[사업비 예산
(천원)]]</f>
        <v>0</v>
      </c>
      <c r="L27" s="134" t="s">
        <v>353</v>
      </c>
      <c r="N27" s="143"/>
      <c r="O27" s="149"/>
      <c r="P27" s="134"/>
      <c r="Q27" s="344"/>
      <c r="R27" s="136"/>
      <c r="S27" s="134"/>
    </row>
    <row r="28" spans="1:26" s="135" customFormat="1" ht="83" customHeight="1">
      <c r="A28" s="137" t="s">
        <v>8</v>
      </c>
      <c r="B28" s="138" t="s">
        <v>381</v>
      </c>
      <c r="C28" s="137" t="s">
        <v>65</v>
      </c>
      <c r="D28" s="138" t="s">
        <v>392</v>
      </c>
      <c r="E28" s="137" t="s">
        <v>23</v>
      </c>
      <c r="F28" s="147" t="s">
        <v>393</v>
      </c>
      <c r="G28" s="141" t="s">
        <v>86</v>
      </c>
      <c r="H28" s="330" t="s">
        <v>395</v>
      </c>
      <c r="I28" s="329">
        <v>50000</v>
      </c>
      <c r="J28" s="329"/>
      <c r="K28" s="367">
        <f>Table_C18[[#This Row],[기준일 현재 
집행액
(천원)]]/Table_C18[[#This Row],[사업비 예산
(천원)]]</f>
        <v>0</v>
      </c>
      <c r="L28" s="142" t="s">
        <v>347</v>
      </c>
      <c r="N28" s="138"/>
      <c r="O28" s="142"/>
      <c r="P28" s="142"/>
      <c r="Q28" s="343"/>
      <c r="R28" s="324"/>
      <c r="S28" s="142"/>
    </row>
    <row r="29" spans="1:26" s="135" customFormat="1" ht="86" customHeight="1">
      <c r="A29" s="137" t="s">
        <v>8</v>
      </c>
      <c r="B29" s="138" t="s">
        <v>381</v>
      </c>
      <c r="C29" s="137" t="s">
        <v>65</v>
      </c>
      <c r="D29" s="138" t="s">
        <v>392</v>
      </c>
      <c r="E29" s="137" t="s">
        <v>23</v>
      </c>
      <c r="F29" s="147" t="s">
        <v>393</v>
      </c>
      <c r="G29" s="132" t="s">
        <v>87</v>
      </c>
      <c r="H29" s="331" t="s">
        <v>396</v>
      </c>
      <c r="I29" s="327">
        <v>0</v>
      </c>
      <c r="J29" s="327"/>
      <c r="K29" s="366"/>
      <c r="L29" s="134" t="s">
        <v>346</v>
      </c>
      <c r="N29" s="143"/>
      <c r="O29" s="134"/>
      <c r="P29" s="134"/>
      <c r="Q29" s="344"/>
      <c r="R29" s="136"/>
      <c r="S29" s="134"/>
    </row>
    <row r="30" spans="1:26" s="135" customFormat="1" ht="30" customHeight="1">
      <c r="A30" s="126" t="s">
        <v>397</v>
      </c>
      <c r="B30" s="127" t="s">
        <v>398</v>
      </c>
      <c r="C30" s="128" t="s">
        <v>334</v>
      </c>
      <c r="D30" s="129" t="s">
        <v>399</v>
      </c>
      <c r="E30" s="144" t="s">
        <v>24</v>
      </c>
      <c r="F30" s="145" t="s">
        <v>400</v>
      </c>
      <c r="G30" s="141" t="s">
        <v>88</v>
      </c>
      <c r="H30" s="330" t="s">
        <v>401</v>
      </c>
      <c r="I30" s="329">
        <v>5000</v>
      </c>
      <c r="J30" s="329"/>
      <c r="K30" s="367">
        <f>Table_C18[[#This Row],[기준일 현재 
집행액
(천원)]]/Table_C18[[#This Row],[사업비 예산
(천원)]]</f>
        <v>0</v>
      </c>
      <c r="L30" s="142" t="s">
        <v>402</v>
      </c>
      <c r="N30" s="138"/>
      <c r="O30" s="142"/>
      <c r="P30" s="142"/>
      <c r="Q30" s="343"/>
      <c r="R30" s="324"/>
      <c r="S30" s="142"/>
    </row>
    <row r="31" spans="1:26" s="135" customFormat="1" ht="30" customHeight="1">
      <c r="A31" s="126" t="s">
        <v>397</v>
      </c>
      <c r="B31" s="127" t="s">
        <v>398</v>
      </c>
      <c r="C31" s="128" t="s">
        <v>334</v>
      </c>
      <c r="D31" s="129" t="s">
        <v>399</v>
      </c>
      <c r="E31" s="144" t="s">
        <v>24</v>
      </c>
      <c r="F31" s="145" t="s">
        <v>400</v>
      </c>
      <c r="G31" s="155" t="s">
        <v>90</v>
      </c>
      <c r="H31" s="331" t="s">
        <v>403</v>
      </c>
      <c r="I31" s="327">
        <v>6000</v>
      </c>
      <c r="J31" s="327"/>
      <c r="K31" s="366">
        <f>Table_C18[[#This Row],[기준일 현재 
집행액
(천원)]]/Table_C18[[#This Row],[사업비 예산
(천원)]]</f>
        <v>0</v>
      </c>
      <c r="L31" s="156" t="s">
        <v>347</v>
      </c>
      <c r="N31" s="143"/>
      <c r="O31" s="134"/>
      <c r="P31" s="134"/>
      <c r="Q31" s="344"/>
      <c r="R31" s="136"/>
      <c r="S31" s="134"/>
    </row>
    <row r="32" spans="1:26" s="135" customFormat="1" ht="30" customHeight="1">
      <c r="A32" s="126" t="s">
        <v>397</v>
      </c>
      <c r="B32" s="127" t="s">
        <v>398</v>
      </c>
      <c r="C32" s="128" t="s">
        <v>334</v>
      </c>
      <c r="D32" s="129" t="s">
        <v>399</v>
      </c>
      <c r="E32" s="144" t="s">
        <v>24</v>
      </c>
      <c r="F32" s="145" t="s">
        <v>400</v>
      </c>
      <c r="G32" s="141" t="s">
        <v>404</v>
      </c>
      <c r="H32" s="330" t="s">
        <v>101</v>
      </c>
      <c r="I32" s="329">
        <v>10000</v>
      </c>
      <c r="J32" s="329"/>
      <c r="K32" s="367">
        <f>Table_C18[[#This Row],[기준일 현재 
집행액
(천원)]]/Table_C18[[#This Row],[사업비 예산
(천원)]]</f>
        <v>0</v>
      </c>
      <c r="L32" s="142" t="s">
        <v>346</v>
      </c>
      <c r="N32" s="138"/>
      <c r="O32" s="142"/>
      <c r="P32" s="142"/>
      <c r="Q32" s="343"/>
      <c r="R32" s="324"/>
      <c r="S32" s="142"/>
    </row>
    <row r="33" spans="1:19" s="135" customFormat="1" ht="29.25" customHeight="1">
      <c r="A33" s="126" t="s">
        <v>397</v>
      </c>
      <c r="B33" s="127" t="s">
        <v>398</v>
      </c>
      <c r="C33" s="128" t="s">
        <v>334</v>
      </c>
      <c r="D33" s="129" t="s">
        <v>399</v>
      </c>
      <c r="E33" s="144" t="s">
        <v>24</v>
      </c>
      <c r="F33" s="145" t="s">
        <v>400</v>
      </c>
      <c r="G33" s="155" t="s">
        <v>90</v>
      </c>
      <c r="H33" s="331" t="s">
        <v>512</v>
      </c>
      <c r="I33" s="327">
        <v>10000</v>
      </c>
      <c r="J33" s="327"/>
      <c r="K33" s="366">
        <f>Table_C18[[#This Row],[기준일 현재 
집행액
(천원)]]/Table_C18[[#This Row],[사업비 예산
(천원)]]</f>
        <v>0</v>
      </c>
      <c r="L33" s="156" t="s">
        <v>347</v>
      </c>
      <c r="N33" s="143" t="s">
        <v>498</v>
      </c>
      <c r="O33" s="134">
        <v>117762</v>
      </c>
      <c r="P33" s="134">
        <v>117762</v>
      </c>
      <c r="Q33" s="344">
        <f>P33/O33</f>
        <v>1</v>
      </c>
      <c r="R33" s="136"/>
      <c r="S33" s="134">
        <f t="shared" si="0"/>
        <v>0</v>
      </c>
    </row>
    <row r="34" spans="1:19" s="135" customFormat="1" ht="29.25" customHeight="1">
      <c r="A34" s="126" t="s">
        <v>397</v>
      </c>
      <c r="B34" s="127" t="s">
        <v>398</v>
      </c>
      <c r="C34" s="128" t="s">
        <v>334</v>
      </c>
      <c r="D34" s="129" t="s">
        <v>399</v>
      </c>
      <c r="E34" s="144" t="s">
        <v>24</v>
      </c>
      <c r="F34" s="145" t="s">
        <v>400</v>
      </c>
      <c r="G34" s="141" t="s">
        <v>404</v>
      </c>
      <c r="H34" s="330" t="s">
        <v>513</v>
      </c>
      <c r="I34" s="329">
        <v>24000</v>
      </c>
      <c r="J34" s="329"/>
      <c r="K34" s="367">
        <f>Table_C18[[#This Row],[기준일 현재 
집행액
(천원)]]/Table_C18[[#This Row],[사업비 예산
(천원)]]</f>
        <v>0</v>
      </c>
      <c r="L34" s="142" t="s">
        <v>347</v>
      </c>
      <c r="N34" s="161" t="s">
        <v>405</v>
      </c>
      <c r="O34" s="162">
        <v>4000</v>
      </c>
      <c r="P34" s="162"/>
      <c r="Q34" s="348">
        <f>P34/O34</f>
        <v>0</v>
      </c>
      <c r="R34" s="325" t="s">
        <v>374</v>
      </c>
      <c r="S34" s="162">
        <f t="shared" si="0"/>
        <v>4000</v>
      </c>
    </row>
    <row r="35" spans="1:19" s="135" customFormat="1" ht="29.25" customHeight="1">
      <c r="A35" s="126" t="s">
        <v>397</v>
      </c>
      <c r="B35" s="127" t="s">
        <v>398</v>
      </c>
      <c r="C35" s="128" t="s">
        <v>334</v>
      </c>
      <c r="D35" s="129" t="s">
        <v>399</v>
      </c>
      <c r="E35" s="144" t="s">
        <v>24</v>
      </c>
      <c r="F35" s="145" t="s">
        <v>400</v>
      </c>
      <c r="G35" s="155" t="s">
        <v>90</v>
      </c>
      <c r="H35" s="331" t="s">
        <v>514</v>
      </c>
      <c r="I35" s="327">
        <v>40000</v>
      </c>
      <c r="J35" s="327"/>
      <c r="K35" s="366">
        <f>Table_C18[[#This Row],[기준일 현재 
집행액
(천원)]]/Table_C18[[#This Row],[사업비 예산
(천원)]]</f>
        <v>0</v>
      </c>
      <c r="L35" s="156" t="s">
        <v>347</v>
      </c>
      <c r="N35" s="143" t="s">
        <v>103</v>
      </c>
      <c r="O35" s="134">
        <v>23969</v>
      </c>
      <c r="P35" s="134"/>
      <c r="Q35" s="344">
        <f>P35/O35</f>
        <v>0</v>
      </c>
      <c r="R35" s="136" t="s">
        <v>354</v>
      </c>
      <c r="S35" s="134">
        <f>O35-P35</f>
        <v>23969</v>
      </c>
    </row>
    <row r="36" spans="1:19" s="135" customFormat="1" ht="29.25" customHeight="1">
      <c r="A36" s="126" t="s">
        <v>397</v>
      </c>
      <c r="B36" s="127" t="s">
        <v>398</v>
      </c>
      <c r="C36" s="128" t="s">
        <v>334</v>
      </c>
      <c r="D36" s="129" t="s">
        <v>399</v>
      </c>
      <c r="E36" s="144" t="s">
        <v>24</v>
      </c>
      <c r="F36" s="145" t="s">
        <v>400</v>
      </c>
      <c r="G36" s="141"/>
      <c r="H36" s="330"/>
      <c r="I36" s="329"/>
      <c r="J36" s="329"/>
      <c r="K36" s="367"/>
      <c r="L36" s="142"/>
      <c r="N36" s="161"/>
      <c r="O36" s="162"/>
      <c r="P36" s="162"/>
      <c r="Q36" s="348"/>
      <c r="R36" s="325"/>
      <c r="S36" s="162"/>
    </row>
    <row r="37" spans="1:19" s="135" customFormat="1" ht="29.25" customHeight="1">
      <c r="A37" s="126" t="s">
        <v>397</v>
      </c>
      <c r="B37" s="127" t="s">
        <v>398</v>
      </c>
      <c r="C37" s="128" t="s">
        <v>334</v>
      </c>
      <c r="D37" s="129" t="s">
        <v>399</v>
      </c>
      <c r="E37" s="144" t="s">
        <v>24</v>
      </c>
      <c r="F37" s="145" t="s">
        <v>400</v>
      </c>
      <c r="G37" s="159"/>
      <c r="H37" s="330"/>
      <c r="I37" s="329"/>
      <c r="J37" s="338"/>
      <c r="K37" s="368"/>
      <c r="L37" s="160"/>
      <c r="Q37" s="349"/>
    </row>
    <row r="38" spans="1:19" s="135" customFormat="1" ht="29.25" customHeight="1">
      <c r="A38" s="126" t="s">
        <v>397</v>
      </c>
      <c r="B38" s="127" t="s">
        <v>398</v>
      </c>
      <c r="C38" s="137" t="s">
        <v>406</v>
      </c>
      <c r="D38" s="150" t="s">
        <v>407</v>
      </c>
      <c r="E38" s="137" t="s">
        <v>25</v>
      </c>
      <c r="F38" s="147" t="s">
        <v>408</v>
      </c>
      <c r="G38" s="155" t="s">
        <v>91</v>
      </c>
      <c r="H38" s="331" t="s">
        <v>104</v>
      </c>
      <c r="I38" s="327">
        <v>14000</v>
      </c>
      <c r="J38" s="327"/>
      <c r="K38" s="366">
        <f>Table_C18[[#This Row],[기준일 현재 
집행액
(천원)]]/Table_C18[[#This Row],[사업비 예산
(천원)]]</f>
        <v>0</v>
      </c>
      <c r="L38" s="156" t="s">
        <v>374</v>
      </c>
      <c r="N38" s="157"/>
      <c r="O38" s="158"/>
      <c r="P38" s="158"/>
      <c r="Q38" s="350" t="e">
        <f>P38/O38</f>
        <v>#DIV/0!</v>
      </c>
      <c r="R38" s="134"/>
      <c r="S38" s="158">
        <f>SUM(S3:S37)</f>
        <v>471103</v>
      </c>
    </row>
    <row r="39" spans="1:19" s="1" customFormat="1" ht="27" customHeight="1">
      <c r="A39" s="163"/>
      <c r="B39" s="164"/>
      <c r="C39" s="165"/>
      <c r="D39" s="164"/>
      <c r="E39" s="165"/>
      <c r="F39" s="166"/>
      <c r="G39" s="167"/>
      <c r="H39" s="164"/>
      <c r="I39" s="168">
        <v>1860000</v>
      </c>
      <c r="J39" s="339">
        <f>SUM(J3:J38)</f>
        <v>31197</v>
      </c>
      <c r="K39" s="369">
        <f>Table_C18[[#This Row],[기준일 현재 
집행액
(천원)]]/Table_C18[[#This Row],[사업비 예산
(천원)]]</f>
        <v>1.6772580645161291E-2</v>
      </c>
      <c r="L39" s="169"/>
      <c r="O39" s="315">
        <f>SUM(O3:O38)</f>
        <v>754112</v>
      </c>
      <c r="P39" s="315">
        <f>SUM(P3:P38)</f>
        <v>201709</v>
      </c>
      <c r="Q39" s="351">
        <f>P39/O39</f>
        <v>0.26747883603496564</v>
      </c>
    </row>
    <row r="40" spans="1:19" s="1" customFormat="1" ht="31.5" customHeight="1">
      <c r="G40" s="79"/>
      <c r="H40" s="170" t="s">
        <v>409</v>
      </c>
      <c r="I40" s="171">
        <v>240000</v>
      </c>
      <c r="J40" s="171"/>
      <c r="K40" s="370"/>
      <c r="L40" s="172" t="s">
        <v>410</v>
      </c>
      <c r="O40" s="1">
        <v>27700</v>
      </c>
      <c r="Q40" s="351"/>
    </row>
    <row r="41" spans="1:19" s="1" customFormat="1" ht="27" customHeight="1">
      <c r="H41" s="173" t="s">
        <v>411</v>
      </c>
      <c r="I41" s="174">
        <f>SUM(I39:I40)</f>
        <v>2100000</v>
      </c>
      <c r="J41" s="174"/>
      <c r="K41" s="371"/>
      <c r="Q41" s="351"/>
    </row>
    <row r="42" spans="1:19" s="1" customFormat="1" ht="16.5" customHeight="1">
      <c r="H42" s="41"/>
      <c r="I42" s="175"/>
      <c r="J42" s="175"/>
      <c r="K42" s="372"/>
      <c r="O42" s="315">
        <f>O39+O40</f>
        <v>781812</v>
      </c>
      <c r="Q42" s="351"/>
    </row>
    <row r="43" spans="1:19" s="1" customFormat="1" ht="16.5" customHeight="1">
      <c r="H43" s="41"/>
      <c r="I43" s="175"/>
      <c r="J43" s="175"/>
      <c r="K43" s="372"/>
      <c r="Q43" s="351"/>
    </row>
    <row r="44" spans="1:19" s="1" customFormat="1" ht="16.5" customHeight="1">
      <c r="H44" s="41"/>
      <c r="I44" s="175"/>
      <c r="J44" s="175"/>
      <c r="K44" s="372"/>
      <c r="Q44" s="351"/>
    </row>
    <row r="45" spans="1:19" s="1" customFormat="1" ht="16.5" customHeight="1">
      <c r="H45" s="41"/>
      <c r="I45" s="175"/>
      <c r="J45" s="175"/>
      <c r="K45" s="372"/>
      <c r="Q45" s="351"/>
    </row>
    <row r="46" spans="1:19" s="1" customFormat="1" ht="16.5" customHeight="1">
      <c r="H46" s="41"/>
      <c r="I46" s="175"/>
      <c r="J46" s="175"/>
      <c r="K46" s="372"/>
      <c r="Q46" s="351"/>
    </row>
    <row r="47" spans="1:19" s="1" customFormat="1" ht="16.5" customHeight="1">
      <c r="H47" s="41"/>
      <c r="I47" s="175"/>
      <c r="J47" s="175"/>
      <c r="K47" s="372"/>
      <c r="Q47" s="351"/>
    </row>
    <row r="48" spans="1:19" s="1" customFormat="1" ht="16.5" customHeight="1">
      <c r="H48" s="41"/>
      <c r="I48" s="175"/>
      <c r="J48" s="175"/>
      <c r="K48" s="372"/>
      <c r="Q48" s="351"/>
    </row>
    <row r="49" spans="8:17" s="1" customFormat="1" ht="16.5" customHeight="1">
      <c r="H49" s="41"/>
      <c r="I49" s="175"/>
      <c r="J49" s="175"/>
      <c r="K49" s="372"/>
      <c r="Q49" s="351"/>
    </row>
    <row r="50" spans="8:17" s="1" customFormat="1" ht="16.5" customHeight="1">
      <c r="H50" s="41"/>
      <c r="I50" s="175"/>
      <c r="J50" s="175"/>
      <c r="K50" s="372"/>
      <c r="Q50" s="351"/>
    </row>
    <row r="51" spans="8:17" s="1" customFormat="1" ht="16.5" customHeight="1">
      <c r="H51" s="41"/>
      <c r="I51" s="175"/>
      <c r="J51" s="175"/>
      <c r="K51" s="372"/>
      <c r="Q51" s="351"/>
    </row>
    <row r="52" spans="8:17" s="1" customFormat="1" ht="16.5" customHeight="1">
      <c r="H52" s="41"/>
      <c r="I52" s="175"/>
      <c r="J52" s="175"/>
      <c r="K52" s="372"/>
      <c r="Q52" s="351"/>
    </row>
    <row r="53" spans="8:17" s="1" customFormat="1" ht="16.5" customHeight="1">
      <c r="H53" s="41"/>
      <c r="I53" s="175"/>
      <c r="J53" s="175"/>
      <c r="K53" s="372"/>
      <c r="Q53" s="351"/>
    </row>
    <row r="54" spans="8:17" s="1" customFormat="1" ht="16.5" customHeight="1">
      <c r="H54" s="41"/>
      <c r="I54" s="175"/>
      <c r="J54" s="175"/>
      <c r="K54" s="372"/>
      <c r="Q54" s="351"/>
    </row>
    <row r="55" spans="8:17" s="1" customFormat="1" ht="16.5" customHeight="1">
      <c r="H55" s="41"/>
      <c r="I55" s="175"/>
      <c r="J55" s="175"/>
      <c r="K55" s="372"/>
      <c r="Q55" s="351"/>
    </row>
    <row r="56" spans="8:17" s="1" customFormat="1" ht="16.5" customHeight="1">
      <c r="H56" s="41"/>
      <c r="I56" s="175"/>
      <c r="J56" s="175"/>
      <c r="K56" s="372"/>
      <c r="Q56" s="351"/>
    </row>
    <row r="57" spans="8:17" s="1" customFormat="1" ht="16.5" customHeight="1">
      <c r="H57" s="41"/>
      <c r="I57" s="175"/>
      <c r="J57" s="175"/>
      <c r="K57" s="372"/>
      <c r="Q57" s="351"/>
    </row>
    <row r="58" spans="8:17" s="1" customFormat="1" ht="16.5" customHeight="1">
      <c r="H58" s="41"/>
      <c r="I58" s="175"/>
      <c r="J58" s="175"/>
      <c r="K58" s="372"/>
      <c r="Q58" s="351"/>
    </row>
    <row r="59" spans="8:17" s="1" customFormat="1" ht="16.5" customHeight="1">
      <c r="H59" s="41"/>
      <c r="I59" s="175"/>
      <c r="J59" s="175"/>
      <c r="K59" s="372"/>
      <c r="Q59" s="351"/>
    </row>
    <row r="60" spans="8:17" s="1" customFormat="1" ht="16.5" customHeight="1">
      <c r="H60" s="41"/>
      <c r="I60" s="175"/>
      <c r="J60" s="175"/>
      <c r="K60" s="372"/>
      <c r="Q60" s="351"/>
    </row>
    <row r="61" spans="8:17" s="1" customFormat="1" ht="16.5" customHeight="1">
      <c r="H61" s="41"/>
      <c r="I61" s="175"/>
      <c r="J61" s="175"/>
      <c r="K61" s="372"/>
      <c r="Q61" s="351"/>
    </row>
    <row r="62" spans="8:17" s="1" customFormat="1" ht="16.5" customHeight="1">
      <c r="H62" s="41"/>
      <c r="I62" s="175"/>
      <c r="J62" s="175"/>
      <c r="K62" s="372"/>
      <c r="Q62" s="351"/>
    </row>
    <row r="63" spans="8:17" s="1" customFormat="1" ht="16.5" customHeight="1">
      <c r="H63" s="41"/>
      <c r="I63" s="175"/>
      <c r="J63" s="175"/>
      <c r="K63" s="372"/>
      <c r="Q63" s="351"/>
    </row>
    <row r="64" spans="8:17" s="1" customFormat="1" ht="16.5" customHeight="1">
      <c r="H64" s="41"/>
      <c r="I64" s="175"/>
      <c r="J64" s="175"/>
      <c r="K64" s="372"/>
      <c r="Q64" s="351"/>
    </row>
    <row r="65" spans="8:17" s="1" customFormat="1" ht="16.5" customHeight="1">
      <c r="H65" s="41"/>
      <c r="I65" s="175"/>
      <c r="J65" s="175"/>
      <c r="K65" s="372"/>
      <c r="Q65" s="351"/>
    </row>
    <row r="66" spans="8:17" s="1" customFormat="1" ht="16.5" customHeight="1">
      <c r="H66" s="41"/>
      <c r="I66" s="175"/>
      <c r="J66" s="175"/>
      <c r="K66" s="372"/>
      <c r="Q66" s="351"/>
    </row>
    <row r="67" spans="8:17" s="1" customFormat="1" ht="16.5" customHeight="1">
      <c r="H67" s="41"/>
      <c r="I67" s="175"/>
      <c r="J67" s="175"/>
      <c r="K67" s="372"/>
      <c r="Q67" s="351"/>
    </row>
    <row r="68" spans="8:17" s="1" customFormat="1" ht="16.5" customHeight="1">
      <c r="H68" s="41"/>
      <c r="I68" s="175"/>
      <c r="J68" s="175"/>
      <c r="K68" s="372"/>
      <c r="Q68" s="351"/>
    </row>
    <row r="69" spans="8:17" s="1" customFormat="1" ht="16.5" customHeight="1">
      <c r="H69" s="41"/>
      <c r="I69" s="175"/>
      <c r="J69" s="175"/>
      <c r="K69" s="372"/>
      <c r="Q69" s="351"/>
    </row>
    <row r="70" spans="8:17" s="1" customFormat="1" ht="16.5" customHeight="1">
      <c r="H70" s="41"/>
      <c r="I70" s="175"/>
      <c r="J70" s="175"/>
      <c r="K70" s="372"/>
      <c r="Q70" s="351"/>
    </row>
    <row r="71" spans="8:17" s="1" customFormat="1" ht="16.5" customHeight="1">
      <c r="H71" s="41"/>
      <c r="I71" s="175"/>
      <c r="J71" s="175"/>
      <c r="K71" s="372"/>
      <c r="Q71" s="351"/>
    </row>
    <row r="72" spans="8:17" s="1" customFormat="1" ht="16.5" customHeight="1">
      <c r="H72" s="41"/>
      <c r="I72" s="175"/>
      <c r="J72" s="175"/>
      <c r="K72" s="372"/>
      <c r="Q72" s="351"/>
    </row>
    <row r="73" spans="8:17" s="1" customFormat="1" ht="16.5" customHeight="1">
      <c r="H73" s="41"/>
      <c r="I73" s="175"/>
      <c r="J73" s="175"/>
      <c r="K73" s="372"/>
      <c r="Q73" s="351"/>
    </row>
    <row r="74" spans="8:17" s="1" customFormat="1" ht="16.5" customHeight="1">
      <c r="H74" s="41"/>
      <c r="I74" s="175"/>
      <c r="J74" s="175"/>
      <c r="K74" s="372"/>
      <c r="Q74" s="351"/>
    </row>
    <row r="75" spans="8:17" s="1" customFormat="1" ht="16.5" customHeight="1">
      <c r="H75" s="41"/>
      <c r="I75" s="175"/>
      <c r="J75" s="175"/>
      <c r="K75" s="372"/>
      <c r="Q75" s="351"/>
    </row>
    <row r="76" spans="8:17" s="1" customFormat="1" ht="16.5" customHeight="1">
      <c r="H76" s="41"/>
      <c r="I76" s="175"/>
      <c r="J76" s="175"/>
      <c r="K76" s="372"/>
      <c r="Q76" s="351"/>
    </row>
    <row r="77" spans="8:17" s="1" customFormat="1" ht="16.5" customHeight="1">
      <c r="H77" s="41"/>
      <c r="I77" s="175"/>
      <c r="J77" s="175"/>
      <c r="K77" s="372"/>
      <c r="Q77" s="351"/>
    </row>
    <row r="78" spans="8:17" s="1" customFormat="1" ht="16.5" customHeight="1">
      <c r="H78" s="41"/>
      <c r="I78" s="175"/>
      <c r="J78" s="175"/>
      <c r="K78" s="372"/>
      <c r="Q78" s="351"/>
    </row>
    <row r="79" spans="8:17" s="1" customFormat="1" ht="16.5" customHeight="1">
      <c r="H79" s="41"/>
      <c r="I79" s="175"/>
      <c r="J79" s="175"/>
      <c r="K79" s="372"/>
      <c r="Q79" s="351"/>
    </row>
    <row r="80" spans="8:17" s="1" customFormat="1" ht="16.5" customHeight="1">
      <c r="H80" s="41"/>
      <c r="I80" s="175"/>
      <c r="J80" s="175"/>
      <c r="K80" s="372"/>
      <c r="Q80" s="351"/>
    </row>
    <row r="81" spans="8:17" s="1" customFormat="1" ht="16.5" customHeight="1">
      <c r="H81" s="41"/>
      <c r="I81" s="175"/>
      <c r="J81" s="175"/>
      <c r="K81" s="372"/>
      <c r="Q81" s="351"/>
    </row>
    <row r="82" spans="8:17" s="1" customFormat="1" ht="16.5" customHeight="1">
      <c r="H82" s="41"/>
      <c r="I82" s="175"/>
      <c r="J82" s="175"/>
      <c r="K82" s="372"/>
      <c r="Q82" s="351"/>
    </row>
    <row r="83" spans="8:17" s="1" customFormat="1" ht="16.5" customHeight="1">
      <c r="H83" s="41"/>
      <c r="I83" s="175"/>
      <c r="J83" s="175"/>
      <c r="K83" s="372"/>
      <c r="Q83" s="351"/>
    </row>
    <row r="84" spans="8:17" s="1" customFormat="1" ht="16.5" customHeight="1">
      <c r="H84" s="41"/>
      <c r="I84" s="175"/>
      <c r="J84" s="175"/>
      <c r="K84" s="372"/>
      <c r="Q84" s="351"/>
    </row>
    <row r="85" spans="8:17" s="1" customFormat="1" ht="16.5" customHeight="1">
      <c r="H85" s="41"/>
      <c r="I85" s="175"/>
      <c r="J85" s="175"/>
      <c r="K85" s="372"/>
      <c r="Q85" s="351"/>
    </row>
    <row r="86" spans="8:17" s="1" customFormat="1" ht="16.5" customHeight="1">
      <c r="H86" s="41"/>
      <c r="I86" s="175"/>
      <c r="J86" s="175"/>
      <c r="K86" s="372"/>
      <c r="Q86" s="351"/>
    </row>
    <row r="87" spans="8:17" s="1" customFormat="1" ht="16.5" customHeight="1">
      <c r="H87" s="41"/>
      <c r="I87" s="175"/>
      <c r="J87" s="175"/>
      <c r="K87" s="372"/>
      <c r="Q87" s="351"/>
    </row>
    <row r="88" spans="8:17" s="1" customFormat="1" ht="16.5" customHeight="1">
      <c r="H88" s="41"/>
      <c r="I88" s="175"/>
      <c r="J88" s="175"/>
      <c r="K88" s="372"/>
      <c r="Q88" s="351"/>
    </row>
    <row r="89" spans="8:17" s="1" customFormat="1" ht="16.5" customHeight="1">
      <c r="H89" s="41"/>
      <c r="I89" s="175"/>
      <c r="J89" s="175"/>
      <c r="K89" s="372"/>
      <c r="Q89" s="351"/>
    </row>
    <row r="90" spans="8:17" s="1" customFormat="1" ht="16.5" customHeight="1">
      <c r="H90" s="41"/>
      <c r="I90" s="175"/>
      <c r="J90" s="175"/>
      <c r="K90" s="372"/>
      <c r="Q90" s="351"/>
    </row>
    <row r="91" spans="8:17" s="1" customFormat="1" ht="16.5" customHeight="1">
      <c r="H91" s="41"/>
      <c r="I91" s="175"/>
      <c r="J91" s="175"/>
      <c r="K91" s="372"/>
      <c r="Q91" s="351"/>
    </row>
    <row r="92" spans="8:17" s="1" customFormat="1" ht="16.5" customHeight="1">
      <c r="H92" s="41"/>
      <c r="I92" s="175"/>
      <c r="J92" s="175"/>
      <c r="K92" s="372"/>
      <c r="Q92" s="351"/>
    </row>
    <row r="93" spans="8:17" s="1" customFormat="1" ht="16.5" customHeight="1">
      <c r="H93" s="41"/>
      <c r="I93" s="175"/>
      <c r="J93" s="175"/>
      <c r="K93" s="372"/>
      <c r="Q93" s="351"/>
    </row>
    <row r="94" spans="8:17" s="1" customFormat="1" ht="16.5" customHeight="1">
      <c r="H94" s="41"/>
      <c r="I94" s="175"/>
      <c r="J94" s="175"/>
      <c r="K94" s="372"/>
      <c r="Q94" s="351"/>
    </row>
    <row r="95" spans="8:17" s="1" customFormat="1" ht="16.5" customHeight="1">
      <c r="H95" s="41"/>
      <c r="I95" s="175"/>
      <c r="J95" s="175"/>
      <c r="K95" s="372"/>
      <c r="Q95" s="351"/>
    </row>
    <row r="96" spans="8:17" s="1" customFormat="1" ht="16.5" customHeight="1">
      <c r="H96" s="41"/>
      <c r="I96" s="175"/>
      <c r="J96" s="175"/>
      <c r="K96" s="372"/>
      <c r="Q96" s="351"/>
    </row>
    <row r="97" spans="8:17" s="1" customFormat="1" ht="16.5" customHeight="1">
      <c r="H97" s="41"/>
      <c r="I97" s="175"/>
      <c r="J97" s="175"/>
      <c r="K97" s="372"/>
      <c r="Q97" s="351"/>
    </row>
    <row r="98" spans="8:17" s="1" customFormat="1" ht="16.5" customHeight="1">
      <c r="H98" s="41"/>
      <c r="I98" s="175"/>
      <c r="J98" s="175"/>
      <c r="K98" s="372"/>
      <c r="Q98" s="351"/>
    </row>
    <row r="99" spans="8:17" s="1" customFormat="1" ht="16.5" customHeight="1">
      <c r="H99" s="41"/>
      <c r="I99" s="175"/>
      <c r="J99" s="175"/>
      <c r="K99" s="372"/>
      <c r="Q99" s="351"/>
    </row>
    <row r="100" spans="8:17" s="1" customFormat="1" ht="16.5" customHeight="1">
      <c r="H100" s="41"/>
      <c r="I100" s="175"/>
      <c r="J100" s="175"/>
      <c r="K100" s="372"/>
      <c r="Q100" s="351"/>
    </row>
    <row r="101" spans="8:17" s="1" customFormat="1" ht="16.5" customHeight="1">
      <c r="H101" s="41"/>
      <c r="I101" s="175"/>
      <c r="J101" s="175"/>
      <c r="K101" s="372"/>
      <c r="Q101" s="351"/>
    </row>
    <row r="102" spans="8:17" s="1" customFormat="1" ht="16.5" customHeight="1">
      <c r="H102" s="41"/>
      <c r="I102" s="175"/>
      <c r="J102" s="175"/>
      <c r="K102" s="372"/>
      <c r="Q102" s="351"/>
    </row>
    <row r="103" spans="8:17" s="1" customFormat="1" ht="16.5" customHeight="1">
      <c r="H103" s="41"/>
      <c r="I103" s="175"/>
      <c r="J103" s="175"/>
      <c r="K103" s="372"/>
      <c r="Q103" s="351"/>
    </row>
    <row r="104" spans="8:17" s="1" customFormat="1" ht="16.5" customHeight="1">
      <c r="H104" s="41"/>
      <c r="I104" s="175"/>
      <c r="J104" s="175"/>
      <c r="K104" s="372"/>
      <c r="Q104" s="351"/>
    </row>
    <row r="105" spans="8:17" s="1" customFormat="1" ht="16.5" customHeight="1">
      <c r="H105" s="41"/>
      <c r="I105" s="175"/>
      <c r="J105" s="175"/>
      <c r="K105" s="372"/>
      <c r="Q105" s="351"/>
    </row>
    <row r="106" spans="8:17" s="1" customFormat="1" ht="16.5" customHeight="1">
      <c r="H106" s="41"/>
      <c r="I106" s="175"/>
      <c r="J106" s="175"/>
      <c r="K106" s="372"/>
      <c r="Q106" s="351"/>
    </row>
    <row r="107" spans="8:17" s="1" customFormat="1" ht="16.5" customHeight="1">
      <c r="H107" s="41"/>
      <c r="I107" s="175"/>
      <c r="J107" s="175"/>
      <c r="K107" s="372"/>
      <c r="Q107" s="351"/>
    </row>
    <row r="108" spans="8:17" s="1" customFormat="1" ht="16.5" customHeight="1">
      <c r="H108" s="41"/>
      <c r="I108" s="175"/>
      <c r="J108" s="175"/>
      <c r="K108" s="372"/>
      <c r="Q108" s="351"/>
    </row>
    <row r="109" spans="8:17" s="1" customFormat="1" ht="16.5" customHeight="1">
      <c r="H109" s="41"/>
      <c r="I109" s="175"/>
      <c r="J109" s="175"/>
      <c r="K109" s="372"/>
      <c r="Q109" s="351"/>
    </row>
    <row r="110" spans="8:17" s="1" customFormat="1" ht="16.5" customHeight="1">
      <c r="H110" s="41"/>
      <c r="I110" s="175"/>
      <c r="J110" s="175"/>
      <c r="K110" s="372"/>
      <c r="Q110" s="351"/>
    </row>
    <row r="111" spans="8:17" s="1" customFormat="1" ht="16.5" customHeight="1">
      <c r="H111" s="41"/>
      <c r="I111" s="175"/>
      <c r="J111" s="175"/>
      <c r="K111" s="372"/>
      <c r="Q111" s="351"/>
    </row>
    <row r="112" spans="8:17" s="1" customFormat="1" ht="16.5" customHeight="1">
      <c r="H112" s="41"/>
      <c r="I112" s="175"/>
      <c r="J112" s="175"/>
      <c r="K112" s="372"/>
      <c r="Q112" s="351"/>
    </row>
    <row r="113" spans="8:17" s="1" customFormat="1" ht="16.5" customHeight="1">
      <c r="H113" s="41"/>
      <c r="I113" s="175"/>
      <c r="J113" s="175"/>
      <c r="K113" s="372"/>
      <c r="Q113" s="351"/>
    </row>
    <row r="114" spans="8:17" s="1" customFormat="1" ht="16.5" customHeight="1">
      <c r="H114" s="41"/>
      <c r="I114" s="175"/>
      <c r="J114" s="175"/>
      <c r="K114" s="372"/>
      <c r="Q114" s="351"/>
    </row>
    <row r="115" spans="8:17" s="1" customFormat="1" ht="16.5" customHeight="1">
      <c r="H115" s="41"/>
      <c r="I115" s="175"/>
      <c r="J115" s="175"/>
      <c r="K115" s="372"/>
      <c r="Q115" s="351"/>
    </row>
    <row r="116" spans="8:17" s="1" customFormat="1" ht="16.5" customHeight="1">
      <c r="H116" s="41"/>
      <c r="I116" s="175"/>
      <c r="J116" s="175"/>
      <c r="K116" s="372"/>
      <c r="Q116" s="351"/>
    </row>
    <row r="117" spans="8:17" s="1" customFormat="1" ht="16.5" customHeight="1">
      <c r="H117" s="41"/>
      <c r="I117" s="175"/>
      <c r="J117" s="175"/>
      <c r="K117" s="372"/>
      <c r="Q117" s="351"/>
    </row>
    <row r="118" spans="8:17" s="1" customFormat="1" ht="16.5" customHeight="1">
      <c r="H118" s="41"/>
      <c r="I118" s="175"/>
      <c r="J118" s="175"/>
      <c r="K118" s="372"/>
      <c r="Q118" s="351"/>
    </row>
    <row r="119" spans="8:17" s="1" customFormat="1" ht="16.5" customHeight="1">
      <c r="H119" s="41"/>
      <c r="I119" s="175"/>
      <c r="J119" s="175"/>
      <c r="K119" s="372"/>
      <c r="Q119" s="351"/>
    </row>
    <row r="120" spans="8:17" s="1" customFormat="1" ht="16.5" customHeight="1">
      <c r="H120" s="41"/>
      <c r="I120" s="175"/>
      <c r="J120" s="175"/>
      <c r="K120" s="372"/>
      <c r="Q120" s="351"/>
    </row>
    <row r="121" spans="8:17" s="1" customFormat="1" ht="16.5" customHeight="1">
      <c r="H121" s="41"/>
      <c r="I121" s="175"/>
      <c r="J121" s="175"/>
      <c r="K121" s="372"/>
      <c r="Q121" s="351"/>
    </row>
    <row r="122" spans="8:17" s="1" customFormat="1" ht="16.5" customHeight="1">
      <c r="H122" s="41"/>
      <c r="I122" s="175"/>
      <c r="J122" s="175"/>
      <c r="K122" s="372"/>
      <c r="Q122" s="351"/>
    </row>
    <row r="123" spans="8:17" s="1" customFormat="1" ht="16.5" customHeight="1">
      <c r="H123" s="41"/>
      <c r="I123" s="175"/>
      <c r="J123" s="175"/>
      <c r="K123" s="372"/>
      <c r="Q123" s="351"/>
    </row>
    <row r="124" spans="8:17" s="1" customFormat="1" ht="16.5" customHeight="1">
      <c r="H124" s="41"/>
      <c r="I124" s="175"/>
      <c r="J124" s="175"/>
      <c r="K124" s="372"/>
      <c r="Q124" s="351"/>
    </row>
    <row r="125" spans="8:17" s="1" customFormat="1" ht="16.5" customHeight="1">
      <c r="H125" s="41"/>
      <c r="I125" s="175"/>
      <c r="J125" s="175"/>
      <c r="K125" s="372"/>
      <c r="Q125" s="351"/>
    </row>
    <row r="126" spans="8:17" s="1" customFormat="1" ht="16.5" customHeight="1">
      <c r="H126" s="41"/>
      <c r="I126" s="175"/>
      <c r="J126" s="175"/>
      <c r="K126" s="372"/>
      <c r="Q126" s="351"/>
    </row>
    <row r="127" spans="8:17" s="1" customFormat="1" ht="16.5" customHeight="1">
      <c r="H127" s="41"/>
      <c r="I127" s="175"/>
      <c r="J127" s="175"/>
      <c r="K127" s="372"/>
      <c r="Q127" s="351"/>
    </row>
    <row r="128" spans="8:17" s="1" customFormat="1" ht="16.5" customHeight="1">
      <c r="H128" s="41"/>
      <c r="I128" s="175"/>
      <c r="J128" s="175"/>
      <c r="K128" s="372"/>
      <c r="Q128" s="351"/>
    </row>
    <row r="129" spans="8:17" s="1" customFormat="1" ht="16.5" customHeight="1">
      <c r="H129" s="41"/>
      <c r="I129" s="175"/>
      <c r="J129" s="175"/>
      <c r="K129" s="372"/>
      <c r="Q129" s="351"/>
    </row>
    <row r="130" spans="8:17" s="1" customFormat="1" ht="16.5" customHeight="1">
      <c r="H130" s="41"/>
      <c r="I130" s="175"/>
      <c r="J130" s="175"/>
      <c r="K130" s="372"/>
      <c r="Q130" s="351"/>
    </row>
    <row r="131" spans="8:17" s="1" customFormat="1" ht="16.5" customHeight="1">
      <c r="H131" s="41"/>
      <c r="I131" s="175"/>
      <c r="J131" s="175"/>
      <c r="K131" s="372"/>
      <c r="Q131" s="351"/>
    </row>
    <row r="132" spans="8:17" s="1" customFormat="1" ht="16.5" customHeight="1">
      <c r="H132" s="41"/>
      <c r="I132" s="175"/>
      <c r="J132" s="175"/>
      <c r="K132" s="372"/>
      <c r="Q132" s="351"/>
    </row>
    <row r="133" spans="8:17" s="1" customFormat="1" ht="16.5" customHeight="1">
      <c r="H133" s="41"/>
      <c r="I133" s="175"/>
      <c r="J133" s="175"/>
      <c r="K133" s="372"/>
      <c r="Q133" s="351"/>
    </row>
    <row r="134" spans="8:17" s="1" customFormat="1" ht="16.5" customHeight="1">
      <c r="H134" s="41"/>
      <c r="I134" s="175"/>
      <c r="J134" s="175"/>
      <c r="K134" s="372"/>
      <c r="Q134" s="351"/>
    </row>
    <row r="135" spans="8:17" s="1" customFormat="1" ht="16.5" customHeight="1">
      <c r="H135" s="41"/>
      <c r="I135" s="175"/>
      <c r="J135" s="175"/>
      <c r="K135" s="372"/>
      <c r="Q135" s="351"/>
    </row>
    <row r="136" spans="8:17" s="1" customFormat="1" ht="16.5" customHeight="1">
      <c r="H136" s="41"/>
      <c r="I136" s="175"/>
      <c r="J136" s="175"/>
      <c r="K136" s="372"/>
      <c r="Q136" s="351"/>
    </row>
    <row r="137" spans="8:17" s="1" customFormat="1" ht="16.5" customHeight="1">
      <c r="H137" s="41"/>
      <c r="I137" s="175"/>
      <c r="J137" s="175"/>
      <c r="K137" s="372"/>
      <c r="Q137" s="351"/>
    </row>
    <row r="138" spans="8:17" s="1" customFormat="1" ht="16.5" customHeight="1">
      <c r="H138" s="41"/>
      <c r="I138" s="175"/>
      <c r="J138" s="175"/>
      <c r="K138" s="372"/>
      <c r="Q138" s="351"/>
    </row>
    <row r="139" spans="8:17" s="1" customFormat="1" ht="16.5" customHeight="1">
      <c r="H139" s="41"/>
      <c r="I139" s="175"/>
      <c r="J139" s="175"/>
      <c r="K139" s="372"/>
      <c r="Q139" s="351"/>
    </row>
    <row r="140" spans="8:17" s="1" customFormat="1" ht="16.5" customHeight="1">
      <c r="H140" s="41"/>
      <c r="I140" s="175"/>
      <c r="J140" s="175"/>
      <c r="K140" s="372"/>
      <c r="Q140" s="351"/>
    </row>
    <row r="141" spans="8:17" s="1" customFormat="1" ht="16.5" customHeight="1">
      <c r="H141" s="41"/>
      <c r="I141" s="175"/>
      <c r="J141" s="175"/>
      <c r="K141" s="372"/>
      <c r="Q141" s="351"/>
    </row>
    <row r="142" spans="8:17" s="1" customFormat="1" ht="16.5" customHeight="1">
      <c r="H142" s="41"/>
      <c r="I142" s="175"/>
      <c r="J142" s="175"/>
      <c r="K142" s="372"/>
      <c r="Q142" s="351"/>
    </row>
    <row r="143" spans="8:17" s="1" customFormat="1" ht="16.5" customHeight="1">
      <c r="H143" s="41"/>
      <c r="I143" s="175"/>
      <c r="J143" s="175"/>
      <c r="K143" s="372"/>
      <c r="Q143" s="351"/>
    </row>
    <row r="144" spans="8:17" s="1" customFormat="1" ht="16.5" customHeight="1">
      <c r="H144" s="41"/>
      <c r="I144" s="175"/>
      <c r="J144" s="175"/>
      <c r="K144" s="372"/>
      <c r="Q144" s="351"/>
    </row>
    <row r="145" spans="8:17" s="1" customFormat="1" ht="16.5" customHeight="1">
      <c r="H145" s="41"/>
      <c r="I145" s="175"/>
      <c r="J145" s="175"/>
      <c r="K145" s="372"/>
      <c r="Q145" s="351"/>
    </row>
    <row r="146" spans="8:17" s="1" customFormat="1" ht="16.5" customHeight="1">
      <c r="H146" s="41"/>
      <c r="I146" s="175"/>
      <c r="J146" s="175"/>
      <c r="K146" s="372"/>
      <c r="Q146" s="351"/>
    </row>
    <row r="147" spans="8:17" s="1" customFormat="1" ht="16.5" customHeight="1">
      <c r="H147" s="41"/>
      <c r="I147" s="175"/>
      <c r="J147" s="175"/>
      <c r="K147" s="372"/>
      <c r="Q147" s="351"/>
    </row>
    <row r="148" spans="8:17" s="1" customFormat="1" ht="16.5" customHeight="1">
      <c r="H148" s="41"/>
      <c r="I148" s="175"/>
      <c r="J148" s="175"/>
      <c r="K148" s="372"/>
      <c r="Q148" s="351"/>
    </row>
    <row r="149" spans="8:17" s="1" customFormat="1" ht="16.5" customHeight="1">
      <c r="H149" s="41"/>
      <c r="I149" s="175"/>
      <c r="J149" s="175"/>
      <c r="K149" s="372"/>
      <c r="Q149" s="351"/>
    </row>
    <row r="150" spans="8:17" s="1" customFormat="1" ht="16.5" customHeight="1">
      <c r="H150" s="41"/>
      <c r="I150" s="175"/>
      <c r="J150" s="175"/>
      <c r="K150" s="372"/>
      <c r="Q150" s="351"/>
    </row>
    <row r="151" spans="8:17" s="1" customFormat="1" ht="16.5" customHeight="1">
      <c r="H151" s="41"/>
      <c r="I151" s="175"/>
      <c r="J151" s="175"/>
      <c r="K151" s="372"/>
      <c r="Q151" s="351"/>
    </row>
    <row r="152" spans="8:17" s="1" customFormat="1" ht="16.5" customHeight="1">
      <c r="H152" s="41"/>
      <c r="I152" s="175"/>
      <c r="J152" s="175"/>
      <c r="K152" s="372"/>
      <c r="Q152" s="351"/>
    </row>
    <row r="153" spans="8:17" s="1" customFormat="1" ht="16.5" customHeight="1">
      <c r="H153" s="41"/>
      <c r="I153" s="175"/>
      <c r="J153" s="175"/>
      <c r="K153" s="372"/>
      <c r="Q153" s="351"/>
    </row>
    <row r="154" spans="8:17" s="1" customFormat="1" ht="16.5" customHeight="1">
      <c r="H154" s="41"/>
      <c r="I154" s="175"/>
      <c r="J154" s="175"/>
      <c r="K154" s="372"/>
      <c r="Q154" s="351"/>
    </row>
    <row r="155" spans="8:17" s="1" customFormat="1" ht="16.5" customHeight="1">
      <c r="H155" s="41"/>
      <c r="I155" s="175"/>
      <c r="J155" s="175"/>
      <c r="K155" s="372"/>
      <c r="Q155" s="351"/>
    </row>
    <row r="156" spans="8:17" s="1" customFormat="1" ht="16.5" customHeight="1">
      <c r="H156" s="41"/>
      <c r="I156" s="175"/>
      <c r="J156" s="175"/>
      <c r="K156" s="372"/>
      <c r="Q156" s="351"/>
    </row>
    <row r="157" spans="8:17" s="1" customFormat="1" ht="16.5" customHeight="1">
      <c r="H157" s="41"/>
      <c r="I157" s="175"/>
      <c r="J157" s="175"/>
      <c r="K157" s="372"/>
      <c r="Q157" s="351"/>
    </row>
    <row r="158" spans="8:17" s="1" customFormat="1" ht="16.5" customHeight="1">
      <c r="H158" s="41"/>
      <c r="I158" s="175"/>
      <c r="J158" s="175"/>
      <c r="K158" s="372"/>
      <c r="Q158" s="351"/>
    </row>
    <row r="159" spans="8:17" s="1" customFormat="1" ht="16.5" customHeight="1">
      <c r="H159" s="41"/>
      <c r="I159" s="175"/>
      <c r="J159" s="175"/>
      <c r="K159" s="372"/>
      <c r="Q159" s="351"/>
    </row>
    <row r="160" spans="8:17" s="1" customFormat="1" ht="16.5" customHeight="1">
      <c r="H160" s="41"/>
      <c r="I160" s="175"/>
      <c r="J160" s="175"/>
      <c r="K160" s="372"/>
      <c r="Q160" s="351"/>
    </row>
    <row r="161" spans="8:17" s="1" customFormat="1" ht="16.5" customHeight="1">
      <c r="H161" s="41"/>
      <c r="I161" s="175"/>
      <c r="J161" s="175"/>
      <c r="K161" s="372"/>
      <c r="Q161" s="351"/>
    </row>
    <row r="162" spans="8:17" s="1" customFormat="1" ht="16.5" customHeight="1">
      <c r="H162" s="41"/>
      <c r="I162" s="175"/>
      <c r="J162" s="175"/>
      <c r="K162" s="372"/>
      <c r="Q162" s="351"/>
    </row>
    <row r="163" spans="8:17" s="1" customFormat="1" ht="16.5" customHeight="1">
      <c r="H163" s="41"/>
      <c r="I163" s="175"/>
      <c r="J163" s="175"/>
      <c r="K163" s="372"/>
      <c r="Q163" s="351"/>
    </row>
    <row r="164" spans="8:17" s="1" customFormat="1" ht="16.5" customHeight="1">
      <c r="H164" s="41"/>
      <c r="I164" s="175"/>
      <c r="J164" s="175"/>
      <c r="K164" s="372"/>
      <c r="Q164" s="351"/>
    </row>
    <row r="165" spans="8:17" s="1" customFormat="1" ht="16.5" customHeight="1">
      <c r="H165" s="41"/>
      <c r="I165" s="175"/>
      <c r="J165" s="175"/>
      <c r="K165" s="372"/>
      <c r="Q165" s="351"/>
    </row>
    <row r="166" spans="8:17" s="1" customFormat="1" ht="16.5" customHeight="1">
      <c r="H166" s="41"/>
      <c r="I166" s="175"/>
      <c r="J166" s="175"/>
      <c r="K166" s="372"/>
      <c r="Q166" s="351"/>
    </row>
    <row r="167" spans="8:17" s="1" customFormat="1" ht="16.5" customHeight="1">
      <c r="H167" s="41"/>
      <c r="I167" s="175"/>
      <c r="J167" s="175"/>
      <c r="K167" s="372"/>
      <c r="Q167" s="351"/>
    </row>
    <row r="168" spans="8:17" s="1" customFormat="1" ht="16.5" customHeight="1">
      <c r="H168" s="41"/>
      <c r="I168" s="175"/>
      <c r="J168" s="175"/>
      <c r="K168" s="372"/>
      <c r="Q168" s="351"/>
    </row>
    <row r="169" spans="8:17" s="1" customFormat="1" ht="16.5" customHeight="1">
      <c r="H169" s="41"/>
      <c r="I169" s="175"/>
      <c r="J169" s="175"/>
      <c r="K169" s="372"/>
      <c r="Q169" s="351"/>
    </row>
    <row r="170" spans="8:17" s="1" customFormat="1" ht="16.5" customHeight="1">
      <c r="H170" s="41"/>
      <c r="I170" s="175"/>
      <c r="J170" s="175"/>
      <c r="K170" s="372"/>
      <c r="Q170" s="351"/>
    </row>
    <row r="171" spans="8:17" s="1" customFormat="1" ht="16.5" customHeight="1">
      <c r="H171" s="41"/>
      <c r="I171" s="175"/>
      <c r="J171" s="175"/>
      <c r="K171" s="372"/>
      <c r="Q171" s="351"/>
    </row>
    <row r="172" spans="8:17" s="1" customFormat="1" ht="16.5" customHeight="1">
      <c r="H172" s="41"/>
      <c r="I172" s="175"/>
      <c r="J172" s="175"/>
      <c r="K172" s="372"/>
      <c r="Q172" s="351"/>
    </row>
    <row r="173" spans="8:17" s="1" customFormat="1" ht="16.5" customHeight="1">
      <c r="H173" s="41"/>
      <c r="I173" s="175"/>
      <c r="J173" s="175"/>
      <c r="K173" s="372"/>
      <c r="Q173" s="351"/>
    </row>
    <row r="174" spans="8:17" s="1" customFormat="1" ht="16.5" customHeight="1">
      <c r="H174" s="41"/>
      <c r="I174" s="175"/>
      <c r="J174" s="175"/>
      <c r="K174" s="372"/>
      <c r="Q174" s="351"/>
    </row>
    <row r="175" spans="8:17" s="1" customFormat="1" ht="16.5" customHeight="1">
      <c r="H175" s="41"/>
      <c r="I175" s="175"/>
      <c r="J175" s="175"/>
      <c r="K175" s="372"/>
      <c r="Q175" s="351"/>
    </row>
    <row r="176" spans="8:17" s="1" customFormat="1" ht="16.5" customHeight="1">
      <c r="H176" s="41"/>
      <c r="I176" s="175"/>
      <c r="J176" s="175"/>
      <c r="K176" s="372"/>
      <c r="Q176" s="351"/>
    </row>
    <row r="177" spans="8:17" s="1" customFormat="1" ht="16.5" customHeight="1">
      <c r="H177" s="41"/>
      <c r="I177" s="175"/>
      <c r="J177" s="175"/>
      <c r="K177" s="372"/>
      <c r="Q177" s="351"/>
    </row>
    <row r="178" spans="8:17" s="1" customFormat="1" ht="16.5" customHeight="1">
      <c r="H178" s="41"/>
      <c r="I178" s="175"/>
      <c r="J178" s="175"/>
      <c r="K178" s="372"/>
      <c r="Q178" s="351"/>
    </row>
    <row r="179" spans="8:17" s="1" customFormat="1" ht="16.5" customHeight="1">
      <c r="H179" s="41"/>
      <c r="I179" s="175"/>
      <c r="J179" s="175"/>
      <c r="K179" s="372"/>
      <c r="Q179" s="351"/>
    </row>
    <row r="180" spans="8:17" s="1" customFormat="1" ht="16.5" customHeight="1">
      <c r="H180" s="41"/>
      <c r="I180" s="175"/>
      <c r="J180" s="175"/>
      <c r="K180" s="372"/>
      <c r="Q180" s="351"/>
    </row>
    <row r="181" spans="8:17" s="1" customFormat="1" ht="16.5" customHeight="1">
      <c r="H181" s="41"/>
      <c r="I181" s="175"/>
      <c r="J181" s="175"/>
      <c r="K181" s="372"/>
      <c r="Q181" s="351"/>
    </row>
    <row r="182" spans="8:17" s="1" customFormat="1" ht="16.5" customHeight="1">
      <c r="H182" s="41"/>
      <c r="I182" s="175"/>
      <c r="J182" s="175"/>
      <c r="K182" s="372"/>
      <c r="Q182" s="351"/>
    </row>
    <row r="183" spans="8:17" s="1" customFormat="1" ht="16.5" customHeight="1">
      <c r="H183" s="41"/>
      <c r="I183" s="175"/>
      <c r="J183" s="175"/>
      <c r="K183" s="372"/>
      <c r="Q183" s="351"/>
    </row>
    <row r="184" spans="8:17" s="1" customFormat="1" ht="16.5" customHeight="1">
      <c r="H184" s="41"/>
      <c r="I184" s="175"/>
      <c r="J184" s="175"/>
      <c r="K184" s="372"/>
      <c r="Q184" s="351"/>
    </row>
    <row r="185" spans="8:17" s="1" customFormat="1" ht="16.5" customHeight="1">
      <c r="H185" s="41"/>
      <c r="I185" s="175"/>
      <c r="J185" s="175"/>
      <c r="K185" s="372"/>
      <c r="Q185" s="351"/>
    </row>
    <row r="186" spans="8:17" s="1" customFormat="1" ht="16.5" customHeight="1">
      <c r="H186" s="41"/>
      <c r="I186" s="175"/>
      <c r="J186" s="175"/>
      <c r="K186" s="372"/>
      <c r="Q186" s="351"/>
    </row>
    <row r="187" spans="8:17" s="1" customFormat="1" ht="16.5" customHeight="1">
      <c r="H187" s="41"/>
      <c r="I187" s="175"/>
      <c r="J187" s="175"/>
      <c r="K187" s="372"/>
      <c r="Q187" s="351"/>
    </row>
    <row r="188" spans="8:17" s="1" customFormat="1" ht="16.5" customHeight="1">
      <c r="H188" s="41"/>
      <c r="I188" s="175"/>
      <c r="J188" s="175"/>
      <c r="K188" s="372"/>
      <c r="Q188" s="351"/>
    </row>
    <row r="189" spans="8:17" s="1" customFormat="1" ht="16.5" customHeight="1">
      <c r="H189" s="41"/>
      <c r="I189" s="175"/>
      <c r="J189" s="175"/>
      <c r="K189" s="372"/>
      <c r="Q189" s="351"/>
    </row>
    <row r="190" spans="8:17" s="1" customFormat="1" ht="16.5" customHeight="1">
      <c r="H190" s="41"/>
      <c r="I190" s="175"/>
      <c r="J190" s="175"/>
      <c r="K190" s="372"/>
      <c r="Q190" s="351"/>
    </row>
    <row r="191" spans="8:17" s="1" customFormat="1" ht="16.5" customHeight="1">
      <c r="H191" s="41"/>
      <c r="I191" s="175"/>
      <c r="J191" s="175"/>
      <c r="K191" s="372"/>
      <c r="Q191" s="351"/>
    </row>
    <row r="192" spans="8:17" s="1" customFormat="1" ht="16.5" customHeight="1">
      <c r="H192" s="41"/>
      <c r="I192" s="175"/>
      <c r="J192" s="175"/>
      <c r="K192" s="372"/>
      <c r="Q192" s="351"/>
    </row>
    <row r="193" spans="8:17" s="1" customFormat="1" ht="16.5" customHeight="1">
      <c r="H193" s="41"/>
      <c r="I193" s="175"/>
      <c r="J193" s="175"/>
      <c r="K193" s="372"/>
      <c r="Q193" s="351"/>
    </row>
    <row r="194" spans="8:17" s="1" customFormat="1" ht="16.5" customHeight="1">
      <c r="H194" s="41"/>
      <c r="I194" s="175"/>
      <c r="J194" s="175"/>
      <c r="K194" s="372"/>
      <c r="Q194" s="351"/>
    </row>
    <row r="195" spans="8:17" s="1" customFormat="1" ht="16.5" customHeight="1">
      <c r="H195" s="41"/>
      <c r="I195" s="175"/>
      <c r="J195" s="175"/>
      <c r="K195" s="372"/>
      <c r="Q195" s="351"/>
    </row>
    <row r="196" spans="8:17" s="1" customFormat="1" ht="16.5" customHeight="1">
      <c r="H196" s="41"/>
      <c r="I196" s="175"/>
      <c r="J196" s="175"/>
      <c r="K196" s="372"/>
      <c r="Q196" s="351"/>
    </row>
    <row r="197" spans="8:17" s="1" customFormat="1" ht="16.5" customHeight="1">
      <c r="H197" s="41"/>
      <c r="I197" s="175"/>
      <c r="J197" s="175"/>
      <c r="K197" s="372"/>
      <c r="Q197" s="351"/>
    </row>
    <row r="198" spans="8:17" s="1" customFormat="1" ht="16.5" customHeight="1">
      <c r="H198" s="41"/>
      <c r="I198" s="175"/>
      <c r="J198" s="175"/>
      <c r="K198" s="372"/>
      <c r="Q198" s="351"/>
    </row>
    <row r="199" spans="8:17" s="1" customFormat="1" ht="16.5" customHeight="1">
      <c r="H199" s="41"/>
      <c r="I199" s="175"/>
      <c r="J199" s="175"/>
      <c r="K199" s="372"/>
      <c r="Q199" s="351"/>
    </row>
    <row r="200" spans="8:17" s="1" customFormat="1" ht="16.5" customHeight="1">
      <c r="H200" s="41"/>
      <c r="I200" s="175"/>
      <c r="J200" s="175"/>
      <c r="K200" s="372"/>
      <c r="Q200" s="351"/>
    </row>
    <row r="201" spans="8:17" s="1" customFormat="1" ht="16.5" customHeight="1">
      <c r="H201" s="41"/>
      <c r="I201" s="175"/>
      <c r="J201" s="175"/>
      <c r="K201" s="372"/>
      <c r="Q201" s="351"/>
    </row>
    <row r="202" spans="8:17" s="1" customFormat="1" ht="16.5" customHeight="1">
      <c r="H202" s="41"/>
      <c r="I202" s="175"/>
      <c r="J202" s="175"/>
      <c r="K202" s="372"/>
      <c r="Q202" s="351"/>
    </row>
    <row r="203" spans="8:17" s="1" customFormat="1" ht="16.5" customHeight="1">
      <c r="H203" s="41"/>
      <c r="I203" s="175"/>
      <c r="J203" s="175"/>
      <c r="K203" s="372"/>
      <c r="Q203" s="351"/>
    </row>
    <row r="204" spans="8:17" s="1" customFormat="1" ht="16.5" customHeight="1">
      <c r="H204" s="41"/>
      <c r="I204" s="175"/>
      <c r="J204" s="175"/>
      <c r="K204" s="372"/>
      <c r="Q204" s="351"/>
    </row>
    <row r="205" spans="8:17" s="1" customFormat="1" ht="16.5" customHeight="1">
      <c r="H205" s="41"/>
      <c r="I205" s="175"/>
      <c r="J205" s="175"/>
      <c r="K205" s="372"/>
      <c r="Q205" s="351"/>
    </row>
    <row r="206" spans="8:17" s="1" customFormat="1" ht="16.5" customHeight="1">
      <c r="H206" s="41"/>
      <c r="I206" s="175"/>
      <c r="J206" s="175"/>
      <c r="K206" s="372"/>
      <c r="Q206" s="351"/>
    </row>
    <row r="207" spans="8:17" s="1" customFormat="1" ht="16.5" customHeight="1">
      <c r="H207" s="41"/>
      <c r="I207" s="175"/>
      <c r="J207" s="175"/>
      <c r="K207" s="372"/>
      <c r="Q207" s="351"/>
    </row>
    <row r="208" spans="8:17" s="1" customFormat="1" ht="16.5" customHeight="1">
      <c r="H208" s="41"/>
      <c r="I208" s="175"/>
      <c r="J208" s="175"/>
      <c r="K208" s="372"/>
      <c r="Q208" s="351"/>
    </row>
    <row r="209" spans="8:17" s="1" customFormat="1" ht="16.5" customHeight="1">
      <c r="H209" s="41"/>
      <c r="I209" s="175"/>
      <c r="J209" s="175"/>
      <c r="K209" s="372"/>
      <c r="Q209" s="351"/>
    </row>
    <row r="210" spans="8:17" s="1" customFormat="1" ht="16.5" customHeight="1">
      <c r="H210" s="41"/>
      <c r="I210" s="175"/>
      <c r="J210" s="175"/>
      <c r="K210" s="372"/>
      <c r="Q210" s="351"/>
    </row>
    <row r="211" spans="8:17" s="1" customFormat="1" ht="16.5" customHeight="1">
      <c r="H211" s="41"/>
      <c r="I211" s="175"/>
      <c r="J211" s="175"/>
      <c r="K211" s="372"/>
      <c r="Q211" s="351"/>
    </row>
    <row r="212" spans="8:17" s="1" customFormat="1" ht="16.5" customHeight="1">
      <c r="H212" s="41"/>
      <c r="I212" s="175"/>
      <c r="J212" s="175"/>
      <c r="K212" s="372"/>
      <c r="Q212" s="351"/>
    </row>
    <row r="213" spans="8:17" s="1" customFormat="1" ht="16.5" customHeight="1">
      <c r="H213" s="41"/>
      <c r="I213" s="175"/>
      <c r="J213" s="175"/>
      <c r="K213" s="372"/>
      <c r="Q213" s="351"/>
    </row>
    <row r="214" spans="8:17" s="1" customFormat="1" ht="16.5" customHeight="1">
      <c r="H214" s="41"/>
      <c r="I214" s="175"/>
      <c r="J214" s="175"/>
      <c r="K214" s="372"/>
      <c r="Q214" s="351"/>
    </row>
    <row r="215" spans="8:17" s="1" customFormat="1" ht="16.5" customHeight="1">
      <c r="H215" s="41"/>
      <c r="I215" s="175"/>
      <c r="J215" s="175"/>
      <c r="K215" s="372"/>
      <c r="Q215" s="351"/>
    </row>
    <row r="216" spans="8:17" s="1" customFormat="1" ht="16.5" customHeight="1">
      <c r="H216" s="41"/>
      <c r="I216" s="175"/>
      <c r="J216" s="175"/>
      <c r="K216" s="372"/>
      <c r="Q216" s="351"/>
    </row>
    <row r="217" spans="8:17" s="1" customFormat="1" ht="16.5" customHeight="1">
      <c r="H217" s="41"/>
      <c r="I217" s="175"/>
      <c r="J217" s="175"/>
      <c r="K217" s="372"/>
      <c r="Q217" s="351"/>
    </row>
    <row r="218" spans="8:17" s="1" customFormat="1" ht="16.5" customHeight="1">
      <c r="H218" s="41"/>
      <c r="I218" s="175"/>
      <c r="J218" s="175"/>
      <c r="K218" s="372"/>
      <c r="Q218" s="351"/>
    </row>
    <row r="219" spans="8:17" s="1" customFormat="1" ht="16.5" customHeight="1">
      <c r="H219" s="41"/>
      <c r="I219" s="175"/>
      <c r="J219" s="175"/>
      <c r="K219" s="372"/>
      <c r="Q219" s="351"/>
    </row>
    <row r="220" spans="8:17" s="1" customFormat="1" ht="16.5" customHeight="1">
      <c r="H220" s="41"/>
      <c r="I220" s="175"/>
      <c r="J220" s="175"/>
      <c r="K220" s="372"/>
      <c r="Q220" s="351"/>
    </row>
    <row r="221" spans="8:17" s="1" customFormat="1" ht="16.5" customHeight="1">
      <c r="H221" s="41"/>
      <c r="I221" s="175"/>
      <c r="J221" s="175"/>
      <c r="K221" s="372"/>
      <c r="Q221" s="351"/>
    </row>
    <row r="222" spans="8:17" s="1" customFormat="1" ht="16.5" customHeight="1">
      <c r="H222" s="41"/>
      <c r="I222" s="175"/>
      <c r="J222" s="175"/>
      <c r="K222" s="372"/>
      <c r="Q222" s="351"/>
    </row>
    <row r="223" spans="8:17" s="1" customFormat="1" ht="16.5" customHeight="1">
      <c r="H223" s="41"/>
      <c r="I223" s="175"/>
      <c r="J223" s="175"/>
      <c r="K223" s="372"/>
      <c r="Q223" s="351"/>
    </row>
    <row r="224" spans="8:17" s="1" customFormat="1" ht="16.5" customHeight="1">
      <c r="H224" s="41"/>
      <c r="I224" s="175"/>
      <c r="J224" s="175"/>
      <c r="K224" s="372"/>
      <c r="Q224" s="351"/>
    </row>
    <row r="225" spans="8:17" s="1" customFormat="1" ht="16.5" customHeight="1">
      <c r="H225" s="41"/>
      <c r="I225" s="175"/>
      <c r="J225" s="175"/>
      <c r="K225" s="372"/>
      <c r="Q225" s="351"/>
    </row>
    <row r="226" spans="8:17" s="1" customFormat="1" ht="16.5" customHeight="1">
      <c r="H226" s="41"/>
      <c r="I226" s="175"/>
      <c r="J226" s="175"/>
      <c r="K226" s="372"/>
      <c r="Q226" s="351"/>
    </row>
    <row r="227" spans="8:17" s="1" customFormat="1" ht="16.5" customHeight="1">
      <c r="H227" s="41"/>
      <c r="I227" s="175"/>
      <c r="J227" s="175"/>
      <c r="K227" s="372"/>
      <c r="Q227" s="351"/>
    </row>
    <row r="228" spans="8:17" s="1" customFormat="1" ht="16.5" customHeight="1">
      <c r="H228" s="41"/>
      <c r="I228" s="175"/>
      <c r="J228" s="175"/>
      <c r="K228" s="372"/>
      <c r="Q228" s="351"/>
    </row>
    <row r="229" spans="8:17" s="1" customFormat="1" ht="16.5" customHeight="1">
      <c r="H229" s="41"/>
      <c r="I229" s="175"/>
      <c r="J229" s="175"/>
      <c r="K229" s="372"/>
      <c r="Q229" s="351"/>
    </row>
    <row r="230" spans="8:17" s="1" customFormat="1" ht="16.5" customHeight="1">
      <c r="H230" s="41"/>
      <c r="I230" s="175"/>
      <c r="J230" s="175"/>
      <c r="K230" s="372"/>
      <c r="Q230" s="351"/>
    </row>
    <row r="231" spans="8:17" s="1" customFormat="1" ht="16.5" customHeight="1">
      <c r="H231" s="41"/>
      <c r="I231" s="175"/>
      <c r="J231" s="175"/>
      <c r="K231" s="372"/>
      <c r="Q231" s="351"/>
    </row>
    <row r="232" spans="8:17" s="1" customFormat="1" ht="16.5" customHeight="1">
      <c r="H232" s="41"/>
      <c r="I232" s="175"/>
      <c r="J232" s="175"/>
      <c r="K232" s="372"/>
      <c r="Q232" s="351"/>
    </row>
    <row r="233" spans="8:17" s="1" customFormat="1" ht="16.5" customHeight="1">
      <c r="H233" s="41"/>
      <c r="I233" s="175"/>
      <c r="J233" s="175"/>
      <c r="K233" s="372"/>
      <c r="Q233" s="351"/>
    </row>
    <row r="234" spans="8:17" s="1" customFormat="1" ht="16.5" customHeight="1">
      <c r="H234" s="41"/>
      <c r="I234" s="175"/>
      <c r="J234" s="175"/>
      <c r="K234" s="372"/>
      <c r="Q234" s="351"/>
    </row>
    <row r="235" spans="8:17" s="1" customFormat="1" ht="16.5" customHeight="1">
      <c r="H235" s="41"/>
      <c r="I235" s="175"/>
      <c r="J235" s="175"/>
      <c r="K235" s="372"/>
      <c r="Q235" s="351"/>
    </row>
    <row r="236" spans="8:17" s="1" customFormat="1" ht="16.5" customHeight="1">
      <c r="H236" s="41"/>
      <c r="I236" s="175"/>
      <c r="J236" s="175"/>
      <c r="K236" s="372"/>
      <c r="Q236" s="351"/>
    </row>
    <row r="237" spans="8:17" s="1" customFormat="1" ht="16.5" customHeight="1">
      <c r="H237" s="41"/>
      <c r="I237" s="175"/>
      <c r="J237" s="175"/>
      <c r="K237" s="372"/>
      <c r="Q237" s="351"/>
    </row>
    <row r="238" spans="8:17" s="1" customFormat="1" ht="16.5" customHeight="1">
      <c r="H238" s="41"/>
      <c r="I238" s="175"/>
      <c r="J238" s="175"/>
      <c r="K238" s="372"/>
      <c r="Q238" s="351"/>
    </row>
    <row r="239" spans="8:17" s="1" customFormat="1" ht="16.5" customHeight="1">
      <c r="H239" s="41"/>
      <c r="I239" s="175"/>
      <c r="J239" s="175"/>
      <c r="K239" s="372"/>
      <c r="Q239" s="351"/>
    </row>
    <row r="240" spans="8:17" s="1" customFormat="1" ht="16.5" customHeight="1">
      <c r="H240" s="41"/>
      <c r="I240" s="175"/>
      <c r="J240" s="175"/>
      <c r="K240" s="372"/>
      <c r="Q240" s="351"/>
    </row>
    <row r="241" spans="8:17" s="1" customFormat="1" ht="16.5" customHeight="1">
      <c r="H241" s="41"/>
      <c r="I241" s="175"/>
      <c r="J241" s="175"/>
      <c r="K241" s="372"/>
      <c r="Q241" s="351"/>
    </row>
    <row r="242" spans="8:17" s="1" customFormat="1" ht="16.5" customHeight="1">
      <c r="H242" s="41"/>
      <c r="I242" s="175"/>
      <c r="J242" s="175"/>
      <c r="K242" s="372"/>
      <c r="Q242" s="351"/>
    </row>
    <row r="243" spans="8:17" s="1" customFormat="1" ht="16.5" customHeight="1">
      <c r="H243" s="41"/>
      <c r="I243" s="175"/>
      <c r="J243" s="175"/>
      <c r="K243" s="372"/>
      <c r="Q243" s="351"/>
    </row>
    <row r="244" spans="8:17" s="1" customFormat="1" ht="16.5" customHeight="1">
      <c r="H244" s="41"/>
      <c r="I244" s="175"/>
      <c r="J244" s="175"/>
      <c r="K244" s="372"/>
      <c r="Q244" s="351"/>
    </row>
    <row r="245" spans="8:17" s="1" customFormat="1" ht="16.5" customHeight="1">
      <c r="H245" s="41"/>
      <c r="I245" s="175"/>
      <c r="J245" s="175"/>
      <c r="K245" s="372"/>
      <c r="Q245" s="351"/>
    </row>
    <row r="246" spans="8:17" s="1" customFormat="1" ht="16.5" customHeight="1">
      <c r="H246" s="41"/>
      <c r="I246" s="175"/>
      <c r="J246" s="175"/>
      <c r="K246" s="372"/>
      <c r="Q246" s="351"/>
    </row>
    <row r="247" spans="8:17" s="1" customFormat="1" ht="16.5" customHeight="1">
      <c r="H247" s="41"/>
      <c r="I247" s="175"/>
      <c r="J247" s="175"/>
      <c r="K247" s="372"/>
      <c r="Q247" s="351"/>
    </row>
    <row r="248" spans="8:17" s="1" customFormat="1" ht="16.5" customHeight="1">
      <c r="H248" s="41"/>
      <c r="I248" s="175"/>
      <c r="J248" s="175"/>
      <c r="K248" s="372"/>
      <c r="Q248" s="351"/>
    </row>
    <row r="249" spans="8:17" s="1" customFormat="1" ht="16.5" customHeight="1">
      <c r="H249" s="41"/>
      <c r="I249" s="175"/>
      <c r="J249" s="175"/>
      <c r="K249" s="372"/>
      <c r="Q249" s="351"/>
    </row>
    <row r="250" spans="8:17" s="1" customFormat="1" ht="16.5" customHeight="1">
      <c r="H250" s="41"/>
      <c r="I250" s="175"/>
      <c r="J250" s="175"/>
      <c r="K250" s="372"/>
      <c r="Q250" s="351"/>
    </row>
    <row r="251" spans="8:17" s="1" customFormat="1" ht="16.5" customHeight="1">
      <c r="H251" s="41"/>
      <c r="I251" s="175"/>
      <c r="J251" s="175"/>
      <c r="K251" s="372"/>
      <c r="Q251" s="351"/>
    </row>
    <row r="252" spans="8:17" s="1" customFormat="1" ht="16.5" customHeight="1">
      <c r="H252" s="41"/>
      <c r="I252" s="175"/>
      <c r="J252" s="175"/>
      <c r="K252" s="372"/>
      <c r="Q252" s="351"/>
    </row>
    <row r="253" spans="8:17" s="1" customFormat="1" ht="16.5" customHeight="1">
      <c r="H253" s="41"/>
      <c r="I253" s="175"/>
      <c r="J253" s="175"/>
      <c r="K253" s="372"/>
      <c r="Q253" s="351"/>
    </row>
    <row r="254" spans="8:17" s="1" customFormat="1" ht="16.5" customHeight="1">
      <c r="H254" s="41"/>
      <c r="I254" s="175"/>
      <c r="J254" s="175"/>
      <c r="K254" s="372"/>
      <c r="Q254" s="351"/>
    </row>
    <row r="255" spans="8:17" s="1" customFormat="1" ht="16.5" customHeight="1">
      <c r="H255" s="41"/>
      <c r="I255" s="175"/>
      <c r="J255" s="175"/>
      <c r="K255" s="372"/>
      <c r="Q255" s="351"/>
    </row>
    <row r="256" spans="8:17" s="1" customFormat="1" ht="16.5" customHeight="1">
      <c r="H256" s="41"/>
      <c r="I256" s="175"/>
      <c r="J256" s="175"/>
      <c r="K256" s="372"/>
      <c r="Q256" s="351"/>
    </row>
    <row r="257" spans="8:17" s="1" customFormat="1" ht="16.5" customHeight="1">
      <c r="H257" s="41"/>
      <c r="I257" s="175"/>
      <c r="J257" s="175"/>
      <c r="K257" s="372"/>
      <c r="Q257" s="351"/>
    </row>
    <row r="258" spans="8:17" s="1" customFormat="1" ht="16.5" customHeight="1">
      <c r="H258" s="41"/>
      <c r="I258" s="175"/>
      <c r="J258" s="175"/>
      <c r="K258" s="372"/>
      <c r="Q258" s="351"/>
    </row>
    <row r="259" spans="8:17" s="1" customFormat="1" ht="16.5" customHeight="1">
      <c r="H259" s="41"/>
      <c r="I259" s="175"/>
      <c r="J259" s="175"/>
      <c r="K259" s="372"/>
      <c r="Q259" s="351"/>
    </row>
    <row r="260" spans="8:17" s="1" customFormat="1" ht="16.5" customHeight="1">
      <c r="H260" s="41"/>
      <c r="I260" s="175"/>
      <c r="J260" s="175"/>
      <c r="K260" s="372"/>
      <c r="Q260" s="351"/>
    </row>
    <row r="261" spans="8:17" s="1" customFormat="1" ht="16.5" customHeight="1">
      <c r="H261" s="41"/>
      <c r="I261" s="175"/>
      <c r="J261" s="175"/>
      <c r="K261" s="372"/>
      <c r="Q261" s="351"/>
    </row>
  </sheetData>
  <mergeCells count="2">
    <mergeCell ref="G1:L1"/>
    <mergeCell ref="N1:R1"/>
  </mergeCells>
  <phoneticPr fontId="2" type="noConversion"/>
  <pageMargins left="0.25" right="0.25" top="0.75" bottom="0.75" header="0.3" footer="0.3"/>
  <pageSetup paperSize="8" scale="41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543F-F407-FA40-AF4F-30AA2DAB70D3}">
  <sheetPr>
    <pageSetUpPr fitToPage="1"/>
  </sheetPr>
  <dimension ref="A1:S40"/>
  <sheetViews>
    <sheetView tabSelected="1" zoomScale="80" zoomScaleNormal="80" workbookViewId="0">
      <selection activeCell="F22" sqref="F22"/>
    </sheetView>
  </sheetViews>
  <sheetFormatPr baseColWidth="10" defaultColWidth="9" defaultRowHeight="15"/>
  <cols>
    <col min="1" max="1" width="8.83203125" style="1" customWidth="1"/>
    <col min="2" max="2" width="45.83203125" style="1" customWidth="1"/>
    <col min="3" max="3" width="8.83203125" style="1" customWidth="1"/>
    <col min="4" max="4" width="45.83203125" style="1" customWidth="1"/>
    <col min="5" max="5" width="8.83203125" style="1" customWidth="1"/>
    <col min="6" max="6" width="45.83203125" style="1" customWidth="1"/>
    <col min="7" max="7" width="8.83203125" style="1" customWidth="1"/>
    <col min="8" max="8" width="40.83203125" style="1" customWidth="1"/>
    <col min="9" max="10" width="21.6640625" style="1" customWidth="1"/>
    <col min="11" max="11" width="21.6640625" style="351" customWidth="1"/>
    <col min="12" max="12" width="10.83203125" style="1" customWidth="1"/>
    <col min="13" max="13" width="2.6640625" style="1" customWidth="1"/>
    <col min="14" max="14" width="43.83203125" style="1" customWidth="1"/>
    <col min="15" max="15" width="20.5" style="1" bestFit="1" customWidth="1"/>
    <col min="16" max="16" width="17.1640625" style="1" customWidth="1"/>
    <col min="17" max="17" width="17.1640625" style="351" customWidth="1"/>
    <col min="18" max="18" width="10.83203125" style="1" customWidth="1"/>
    <col min="19" max="19" width="9" style="200"/>
    <col min="20" max="16384" width="9" style="1"/>
  </cols>
  <sheetData>
    <row r="1" spans="1:19" s="34" customFormat="1" ht="55" customHeight="1">
      <c r="A1" s="248" t="s">
        <v>472</v>
      </c>
      <c r="B1" s="247" t="s">
        <v>476</v>
      </c>
      <c r="C1" s="244" t="s">
        <v>472</v>
      </c>
      <c r="D1" s="247" t="s">
        <v>1082</v>
      </c>
      <c r="E1" s="246" t="s">
        <v>474</v>
      </c>
      <c r="F1" s="247" t="s">
        <v>1083</v>
      </c>
      <c r="G1" s="378" t="s">
        <v>1084</v>
      </c>
      <c r="H1" s="379"/>
      <c r="I1" s="379"/>
      <c r="J1" s="379"/>
      <c r="K1" s="379"/>
      <c r="L1" s="380"/>
      <c r="N1" s="381" t="s">
        <v>1085</v>
      </c>
      <c r="O1" s="382"/>
      <c r="P1" s="382"/>
      <c r="Q1" s="382"/>
      <c r="R1" s="382"/>
      <c r="S1" s="245"/>
    </row>
    <row r="2" spans="1:19" ht="54">
      <c r="A2" s="201" t="s">
        <v>27</v>
      </c>
      <c r="B2" s="202" t="s">
        <v>0</v>
      </c>
      <c r="C2" s="203" t="s">
        <v>28</v>
      </c>
      <c r="D2" s="203" t="s">
        <v>1</v>
      </c>
      <c r="E2" s="204" t="s">
        <v>29</v>
      </c>
      <c r="F2" s="204" t="s">
        <v>13</v>
      </c>
      <c r="G2" s="124" t="s">
        <v>30</v>
      </c>
      <c r="H2" s="306" t="s">
        <v>494</v>
      </c>
      <c r="I2" s="307" t="s">
        <v>1086</v>
      </c>
      <c r="J2" s="307" t="s">
        <v>1087</v>
      </c>
      <c r="K2" s="358" t="s">
        <v>489</v>
      </c>
      <c r="L2" s="305" t="s">
        <v>488</v>
      </c>
      <c r="M2" s="34"/>
      <c r="N2" s="125" t="s">
        <v>494</v>
      </c>
      <c r="O2" s="125" t="s">
        <v>495</v>
      </c>
      <c r="P2" s="313" t="s">
        <v>493</v>
      </c>
      <c r="Q2" s="341" t="s">
        <v>490</v>
      </c>
      <c r="R2" s="125" t="s">
        <v>35</v>
      </c>
      <c r="S2" s="314" t="s">
        <v>99</v>
      </c>
    </row>
    <row r="3" spans="1:19" s="184" customFormat="1" ht="16">
      <c r="A3" s="1049" t="s">
        <v>2</v>
      </c>
      <c r="B3" s="1050" t="s">
        <v>1088</v>
      </c>
      <c r="C3" s="1051" t="s">
        <v>4</v>
      </c>
      <c r="D3" s="1052" t="s">
        <v>1089</v>
      </c>
      <c r="E3" s="1051" t="s">
        <v>119</v>
      </c>
      <c r="F3" s="1053" t="s">
        <v>1089</v>
      </c>
      <c r="G3" s="1051" t="s">
        <v>40</v>
      </c>
      <c r="H3" s="91" t="s">
        <v>1090</v>
      </c>
      <c r="I3" s="1054">
        <v>2000000</v>
      </c>
      <c r="J3" s="1055"/>
      <c r="K3" s="1056">
        <f>Table_D21214[[#This Row],[기준일 현재 
집행액]]/Table_D21214[[#This Row],[사업비 예산]]</f>
        <v>0</v>
      </c>
      <c r="L3" s="1057" t="s">
        <v>1091</v>
      </c>
      <c r="M3" s="1"/>
      <c r="N3" s="311"/>
      <c r="O3" s="82"/>
      <c r="P3" s="1055"/>
      <c r="Q3" s="1056" t="e">
        <f t="shared" ref="Q3:Q39" si="0">P3/O3</f>
        <v>#DIV/0!</v>
      </c>
      <c r="R3" s="82"/>
      <c r="S3" s="229">
        <f t="shared" ref="S3:S39" si="1">O3-P3</f>
        <v>0</v>
      </c>
    </row>
    <row r="4" spans="1:19" s="184" customFormat="1" ht="16">
      <c r="A4" s="1049" t="s">
        <v>2</v>
      </c>
      <c r="B4" s="1050" t="s">
        <v>1088</v>
      </c>
      <c r="C4" s="1051" t="s">
        <v>4</v>
      </c>
      <c r="D4" s="1052" t="s">
        <v>1089</v>
      </c>
      <c r="E4" s="1051" t="s">
        <v>119</v>
      </c>
      <c r="F4" s="1053" t="s">
        <v>1089</v>
      </c>
      <c r="G4" s="1051" t="s">
        <v>43</v>
      </c>
      <c r="H4" s="91" t="s">
        <v>1092</v>
      </c>
      <c r="I4" s="1054">
        <v>8000000</v>
      </c>
      <c r="J4" s="1055"/>
      <c r="K4" s="1056">
        <f>Table_D21214[[#This Row],[기준일 현재 
집행액]]/Table_D21214[[#This Row],[사업비 예산]]</f>
        <v>0</v>
      </c>
      <c r="L4" s="1057" t="s">
        <v>1093</v>
      </c>
      <c r="M4" s="1"/>
      <c r="N4" s="311"/>
      <c r="O4" s="82"/>
      <c r="P4" s="1055"/>
      <c r="Q4" s="1056" t="e">
        <f t="shared" si="0"/>
        <v>#DIV/0!</v>
      </c>
      <c r="R4" s="82"/>
      <c r="S4" s="229">
        <f t="shared" si="1"/>
        <v>0</v>
      </c>
    </row>
    <row r="5" spans="1:19" s="184" customFormat="1" ht="16">
      <c r="A5" s="1049" t="s">
        <v>2</v>
      </c>
      <c r="B5" s="1050" t="s">
        <v>1088</v>
      </c>
      <c r="C5" s="1051" t="s">
        <v>4</v>
      </c>
      <c r="D5" s="1052" t="s">
        <v>1089</v>
      </c>
      <c r="E5" s="1051" t="s">
        <v>119</v>
      </c>
      <c r="F5" s="1053" t="s">
        <v>1089</v>
      </c>
      <c r="G5" s="1051" t="s">
        <v>355</v>
      </c>
      <c r="H5" s="91" t="s">
        <v>1094</v>
      </c>
      <c r="I5" s="1054">
        <v>5000000</v>
      </c>
      <c r="J5" s="1055"/>
      <c r="K5" s="1056">
        <f>Table_D21214[[#This Row],[기준일 현재 
집행액]]/Table_D21214[[#This Row],[사업비 예산]]</f>
        <v>0</v>
      </c>
      <c r="L5" s="1057" t="s">
        <v>1091</v>
      </c>
      <c r="M5" s="1"/>
      <c r="N5" s="311"/>
      <c r="O5" s="82"/>
      <c r="P5" s="1055"/>
      <c r="Q5" s="1056" t="e">
        <f t="shared" si="0"/>
        <v>#DIV/0!</v>
      </c>
      <c r="R5" s="82"/>
      <c r="S5" s="229">
        <f t="shared" si="1"/>
        <v>0</v>
      </c>
    </row>
    <row r="6" spans="1:19" s="184" customFormat="1" ht="16">
      <c r="A6" s="1049" t="s">
        <v>2</v>
      </c>
      <c r="B6" s="1050" t="s">
        <v>1088</v>
      </c>
      <c r="C6" s="1051" t="s">
        <v>108</v>
      </c>
      <c r="D6" s="1052" t="s">
        <v>1095</v>
      </c>
      <c r="E6" s="1051" t="s">
        <v>120</v>
      </c>
      <c r="F6" s="1053" t="s">
        <v>1095</v>
      </c>
      <c r="G6" s="1051" t="s">
        <v>44</v>
      </c>
      <c r="H6" s="91" t="s">
        <v>1096</v>
      </c>
      <c r="I6" s="1054">
        <v>3000000</v>
      </c>
      <c r="J6" s="1055"/>
      <c r="K6" s="1056">
        <f>Table_D21214[[#This Row],[기준일 현재 
집행액]]/Table_D21214[[#This Row],[사업비 예산]]</f>
        <v>0</v>
      </c>
      <c r="L6" s="1057" t="s">
        <v>1093</v>
      </c>
      <c r="M6" s="1"/>
      <c r="N6" s="311"/>
      <c r="O6" s="82"/>
      <c r="P6" s="1055"/>
      <c r="Q6" s="1056" t="e">
        <f t="shared" si="0"/>
        <v>#DIV/0!</v>
      </c>
      <c r="R6" s="82"/>
      <c r="S6" s="229">
        <f t="shared" si="1"/>
        <v>0</v>
      </c>
    </row>
    <row r="7" spans="1:19" s="184" customFormat="1" ht="16">
      <c r="A7" s="1049" t="s">
        <v>2</v>
      </c>
      <c r="B7" s="1050" t="s">
        <v>1088</v>
      </c>
      <c r="C7" s="1051" t="s">
        <v>108</v>
      </c>
      <c r="D7" s="1052" t="s">
        <v>1095</v>
      </c>
      <c r="E7" s="1051" t="s">
        <v>120</v>
      </c>
      <c r="F7" s="1053" t="s">
        <v>1095</v>
      </c>
      <c r="G7" s="1051" t="s">
        <v>45</v>
      </c>
      <c r="H7" s="91" t="s">
        <v>1097</v>
      </c>
      <c r="I7" s="1054">
        <v>2400000</v>
      </c>
      <c r="J7" s="1055"/>
      <c r="K7" s="1056">
        <f>Table_D21214[[#This Row],[기준일 현재 
집행액]]/Table_D21214[[#This Row],[사업비 예산]]</f>
        <v>0</v>
      </c>
      <c r="L7" s="1057" t="s">
        <v>1093</v>
      </c>
      <c r="M7" s="1"/>
      <c r="N7" s="311"/>
      <c r="O7" s="82"/>
      <c r="P7" s="1055"/>
      <c r="Q7" s="1056" t="e">
        <f t="shared" si="0"/>
        <v>#DIV/0!</v>
      </c>
      <c r="R7" s="82"/>
      <c r="S7" s="229">
        <f t="shared" si="1"/>
        <v>0</v>
      </c>
    </row>
    <row r="8" spans="1:19" s="184" customFormat="1" ht="16">
      <c r="A8" s="1049" t="s">
        <v>5</v>
      </c>
      <c r="B8" s="1050" t="s">
        <v>1098</v>
      </c>
      <c r="C8" s="1051" t="s">
        <v>109</v>
      </c>
      <c r="D8" s="1052" t="s">
        <v>1099</v>
      </c>
      <c r="E8" s="1051" t="s">
        <v>121</v>
      </c>
      <c r="F8" s="1053" t="s">
        <v>1099</v>
      </c>
      <c r="G8" s="1051" t="s">
        <v>47</v>
      </c>
      <c r="H8" s="91" t="s">
        <v>1100</v>
      </c>
      <c r="I8" s="1054">
        <v>3000000</v>
      </c>
      <c r="J8" s="1055"/>
      <c r="K8" s="1056">
        <f>Table_D21214[[#This Row],[기준일 현재 
집행액]]/Table_D21214[[#This Row],[사업비 예산]]</f>
        <v>0</v>
      </c>
      <c r="L8" s="1057" t="s">
        <v>1093</v>
      </c>
      <c r="M8" s="1"/>
      <c r="N8" s="311"/>
      <c r="O8" s="82"/>
      <c r="P8" s="1055"/>
      <c r="Q8" s="1056" t="e">
        <f t="shared" si="0"/>
        <v>#DIV/0!</v>
      </c>
      <c r="R8" s="82"/>
      <c r="S8" s="229">
        <f t="shared" si="1"/>
        <v>0</v>
      </c>
    </row>
    <row r="9" spans="1:19" s="184" customFormat="1" ht="16">
      <c r="A9" s="1049" t="s">
        <v>5</v>
      </c>
      <c r="B9" s="1050" t="s">
        <v>1098</v>
      </c>
      <c r="C9" s="1051" t="s">
        <v>109</v>
      </c>
      <c r="D9" s="1052" t="s">
        <v>1099</v>
      </c>
      <c r="E9" s="1051" t="s">
        <v>121</v>
      </c>
      <c r="F9" s="1053" t="s">
        <v>1099</v>
      </c>
      <c r="G9" s="1051" t="s">
        <v>48</v>
      </c>
      <c r="H9" s="91" t="s">
        <v>1101</v>
      </c>
      <c r="I9" s="1054">
        <v>3000000</v>
      </c>
      <c r="J9" s="1055"/>
      <c r="K9" s="1056">
        <f>Table_D21214[[#This Row],[기준일 현재 
집행액]]/Table_D21214[[#This Row],[사업비 예산]]</f>
        <v>0</v>
      </c>
      <c r="L9" s="1057" t="s">
        <v>1093</v>
      </c>
      <c r="M9" s="1"/>
      <c r="N9" s="311"/>
      <c r="O9" s="82"/>
      <c r="P9" s="1055"/>
      <c r="Q9" s="1056" t="e">
        <f t="shared" si="0"/>
        <v>#DIV/0!</v>
      </c>
      <c r="R9" s="82"/>
      <c r="S9" s="229">
        <f t="shared" si="1"/>
        <v>0</v>
      </c>
    </row>
    <row r="10" spans="1:19" s="184" customFormat="1" ht="16">
      <c r="A10" s="1049" t="s">
        <v>5</v>
      </c>
      <c r="B10" s="1050" t="s">
        <v>1098</v>
      </c>
      <c r="C10" s="1051" t="s">
        <v>109</v>
      </c>
      <c r="D10" s="1052" t="s">
        <v>1099</v>
      </c>
      <c r="E10" s="1051" t="s">
        <v>121</v>
      </c>
      <c r="F10" s="1053" t="s">
        <v>1099</v>
      </c>
      <c r="G10" s="1051" t="s">
        <v>49</v>
      </c>
      <c r="H10" s="91" t="s">
        <v>1102</v>
      </c>
      <c r="I10" s="1054">
        <v>7000000</v>
      </c>
      <c r="J10" s="1055"/>
      <c r="K10" s="1056">
        <f>Table_D21214[[#This Row],[기준일 현재 
집행액]]/Table_D21214[[#This Row],[사업비 예산]]</f>
        <v>0</v>
      </c>
      <c r="L10" s="1057" t="s">
        <v>1093</v>
      </c>
      <c r="M10" s="1"/>
      <c r="N10" s="311"/>
      <c r="O10" s="82"/>
      <c r="P10" s="1055"/>
      <c r="Q10" s="1056" t="e">
        <f t="shared" si="0"/>
        <v>#DIV/0!</v>
      </c>
      <c r="R10" s="82"/>
      <c r="S10" s="229">
        <f t="shared" si="1"/>
        <v>0</v>
      </c>
    </row>
    <row r="11" spans="1:19" s="184" customFormat="1" ht="16">
      <c r="A11" s="1049" t="s">
        <v>66</v>
      </c>
      <c r="B11" s="1050" t="s">
        <v>1103</v>
      </c>
      <c r="C11" s="1051" t="s">
        <v>6</v>
      </c>
      <c r="D11" s="1052" t="s">
        <v>1104</v>
      </c>
      <c r="E11" s="1051" t="s">
        <v>122</v>
      </c>
      <c r="F11" s="1053" t="s">
        <v>1105</v>
      </c>
      <c r="G11" s="1051" t="s">
        <v>68</v>
      </c>
      <c r="H11" s="91" t="s">
        <v>1106</v>
      </c>
      <c r="I11" s="1054">
        <v>1500000</v>
      </c>
      <c r="J11" s="1055"/>
      <c r="K11" s="1056">
        <f>Table_D21214[[#This Row],[기준일 현재 
집행액]]/Table_D21214[[#This Row],[사업비 예산]]</f>
        <v>0</v>
      </c>
      <c r="L11" s="1057" t="s">
        <v>1093</v>
      </c>
      <c r="M11" s="1"/>
      <c r="N11" s="311"/>
      <c r="O11" s="82"/>
      <c r="P11" s="1055"/>
      <c r="Q11" s="1056" t="e">
        <f t="shared" si="0"/>
        <v>#DIV/0!</v>
      </c>
      <c r="R11" s="82"/>
      <c r="S11" s="229">
        <f t="shared" si="1"/>
        <v>0</v>
      </c>
    </row>
    <row r="12" spans="1:19" s="184" customFormat="1" ht="16">
      <c r="A12" s="1049" t="s">
        <v>66</v>
      </c>
      <c r="B12" s="1050" t="s">
        <v>1103</v>
      </c>
      <c r="C12" s="1051" t="s">
        <v>7</v>
      </c>
      <c r="D12" s="1052" t="s">
        <v>1107</v>
      </c>
      <c r="E12" s="1051" t="s">
        <v>124</v>
      </c>
      <c r="F12" s="1053" t="s">
        <v>1108</v>
      </c>
      <c r="G12" s="1051" t="s">
        <v>72</v>
      </c>
      <c r="H12" s="91" t="s">
        <v>1109</v>
      </c>
      <c r="I12" s="1054">
        <v>7500000</v>
      </c>
      <c r="J12" s="1055"/>
      <c r="K12" s="1056">
        <f>Table_D21214[[#This Row],[기준일 현재 
집행액]]/Table_D21214[[#This Row],[사업비 예산]]</f>
        <v>0</v>
      </c>
      <c r="L12" s="1057" t="s">
        <v>1091</v>
      </c>
      <c r="M12" s="1"/>
      <c r="N12" s="311"/>
      <c r="O12" s="82"/>
      <c r="P12" s="1055"/>
      <c r="Q12" s="1056" t="e">
        <f t="shared" si="0"/>
        <v>#DIV/0!</v>
      </c>
      <c r="R12" s="82"/>
      <c r="S12" s="229">
        <f t="shared" si="1"/>
        <v>0</v>
      </c>
    </row>
    <row r="13" spans="1:19" s="184" customFormat="1" ht="16">
      <c r="A13" s="1049" t="s">
        <v>66</v>
      </c>
      <c r="B13" s="1050" t="s">
        <v>1103</v>
      </c>
      <c r="C13" s="1051" t="s">
        <v>7</v>
      </c>
      <c r="D13" s="1052" t="s">
        <v>1107</v>
      </c>
      <c r="E13" s="1051" t="s">
        <v>124</v>
      </c>
      <c r="F13" s="1053" t="s">
        <v>1108</v>
      </c>
      <c r="G13" s="1051" t="s">
        <v>73</v>
      </c>
      <c r="H13" s="91" t="s">
        <v>1110</v>
      </c>
      <c r="I13" s="1054">
        <v>2000000</v>
      </c>
      <c r="J13" s="1055"/>
      <c r="K13" s="1056">
        <f>Table_D21214[[#This Row],[기준일 현재 
집행액]]/Table_D21214[[#This Row],[사업비 예산]]</f>
        <v>0</v>
      </c>
      <c r="L13" s="1057" t="s">
        <v>1091</v>
      </c>
      <c r="M13" s="1"/>
      <c r="N13" s="311"/>
      <c r="O13" s="82"/>
      <c r="P13" s="1055"/>
      <c r="Q13" s="1056" t="e">
        <f t="shared" si="0"/>
        <v>#DIV/0!</v>
      </c>
      <c r="R13" s="82"/>
      <c r="S13" s="229">
        <f t="shared" si="1"/>
        <v>0</v>
      </c>
    </row>
    <row r="14" spans="1:19" s="184" customFormat="1" ht="16">
      <c r="A14" s="1049" t="s">
        <v>66</v>
      </c>
      <c r="B14" s="1050" t="s">
        <v>1103</v>
      </c>
      <c r="C14" s="1051" t="s">
        <v>7</v>
      </c>
      <c r="D14" s="1052" t="s">
        <v>1107</v>
      </c>
      <c r="E14" s="1051" t="s">
        <v>124</v>
      </c>
      <c r="F14" s="1053" t="s">
        <v>1108</v>
      </c>
      <c r="G14" s="1051" t="s">
        <v>1111</v>
      </c>
      <c r="H14" s="91" t="s">
        <v>1112</v>
      </c>
      <c r="I14" s="1054" t="s">
        <v>1113</v>
      </c>
      <c r="J14" s="1055"/>
      <c r="K14" s="1056" t="e">
        <f>Table_D21214[[#This Row],[기준일 현재 
집행액]]/Table_D21214[[#This Row],[사업비 예산]]</f>
        <v>#VALUE!</v>
      </c>
      <c r="L14" s="1057" t="s">
        <v>1091</v>
      </c>
      <c r="M14" s="1"/>
      <c r="N14" s="311"/>
      <c r="O14" s="82"/>
      <c r="P14" s="1055"/>
      <c r="Q14" s="1056" t="e">
        <f t="shared" si="0"/>
        <v>#DIV/0!</v>
      </c>
      <c r="R14" s="82"/>
      <c r="S14" s="229">
        <f t="shared" si="1"/>
        <v>0</v>
      </c>
    </row>
    <row r="15" spans="1:19" s="184" customFormat="1" ht="16">
      <c r="A15" s="1049" t="s">
        <v>66</v>
      </c>
      <c r="B15" s="1050" t="s">
        <v>1103</v>
      </c>
      <c r="C15" s="1051" t="s">
        <v>7</v>
      </c>
      <c r="D15" s="1052" t="s">
        <v>1107</v>
      </c>
      <c r="E15" s="1051" t="s">
        <v>124</v>
      </c>
      <c r="F15" s="1053" t="s">
        <v>1108</v>
      </c>
      <c r="G15" s="1051" t="s">
        <v>1114</v>
      </c>
      <c r="H15" s="91" t="s">
        <v>1115</v>
      </c>
      <c r="I15" s="1054">
        <v>5000000</v>
      </c>
      <c r="J15" s="1055"/>
      <c r="K15" s="1056">
        <f>Table_D21214[[#This Row],[기준일 현재 
집행액]]/Table_D21214[[#This Row],[사업비 예산]]</f>
        <v>0</v>
      </c>
      <c r="L15" s="1057" t="s">
        <v>1093</v>
      </c>
      <c r="M15" s="1"/>
      <c r="N15" s="311"/>
      <c r="O15" s="82"/>
      <c r="P15" s="1055"/>
      <c r="Q15" s="1056" t="e">
        <f t="shared" si="0"/>
        <v>#DIV/0!</v>
      </c>
      <c r="R15" s="82"/>
      <c r="S15" s="229">
        <f t="shared" si="1"/>
        <v>0</v>
      </c>
    </row>
    <row r="16" spans="1:19" s="184" customFormat="1" ht="16">
      <c r="A16" s="1049" t="s">
        <v>66</v>
      </c>
      <c r="B16" s="1050" t="s">
        <v>1103</v>
      </c>
      <c r="C16" s="1051" t="s">
        <v>7</v>
      </c>
      <c r="D16" s="1052" t="s">
        <v>1107</v>
      </c>
      <c r="E16" s="1051" t="s">
        <v>124</v>
      </c>
      <c r="F16" s="1053" t="s">
        <v>1108</v>
      </c>
      <c r="G16" s="1051" t="s">
        <v>1116</v>
      </c>
      <c r="H16" s="91" t="s">
        <v>1117</v>
      </c>
      <c r="I16" s="1054">
        <v>10000000</v>
      </c>
      <c r="J16" s="1055"/>
      <c r="K16" s="1056">
        <f>Table_D21214[[#This Row],[기준일 현재 
집행액]]/Table_D21214[[#This Row],[사업비 예산]]</f>
        <v>0</v>
      </c>
      <c r="L16" s="1057" t="s">
        <v>1093</v>
      </c>
      <c r="M16" s="1"/>
      <c r="N16" s="311"/>
      <c r="O16" s="82"/>
      <c r="P16" s="1055"/>
      <c r="Q16" s="1056" t="e">
        <f t="shared" si="0"/>
        <v>#DIV/0!</v>
      </c>
      <c r="R16" s="82"/>
      <c r="S16" s="229">
        <f t="shared" si="1"/>
        <v>0</v>
      </c>
    </row>
    <row r="17" spans="1:19" s="184" customFormat="1" ht="16">
      <c r="A17" s="1049" t="s">
        <v>66</v>
      </c>
      <c r="B17" s="1050" t="s">
        <v>1103</v>
      </c>
      <c r="C17" s="1051" t="s">
        <v>63</v>
      </c>
      <c r="D17" s="1052" t="s">
        <v>1118</v>
      </c>
      <c r="E17" s="1051" t="s">
        <v>124</v>
      </c>
      <c r="F17" s="1053" t="s">
        <v>1119</v>
      </c>
      <c r="G17" s="1051" t="s">
        <v>1120</v>
      </c>
      <c r="H17" s="91" t="s">
        <v>1121</v>
      </c>
      <c r="I17" s="1054">
        <v>20000000</v>
      </c>
      <c r="J17" s="1055"/>
      <c r="K17" s="1056">
        <f>Table_D21214[[#This Row],[기준일 현재 
집행액]]/Table_D21214[[#This Row],[사업비 예산]]</f>
        <v>0</v>
      </c>
      <c r="L17" s="1057" t="s">
        <v>1091</v>
      </c>
      <c r="M17" s="1"/>
      <c r="N17" s="311"/>
      <c r="O17" s="82"/>
      <c r="P17" s="1055"/>
      <c r="Q17" s="1056" t="e">
        <f t="shared" si="0"/>
        <v>#DIV/0!</v>
      </c>
      <c r="R17" s="82"/>
      <c r="S17" s="229">
        <f t="shared" si="1"/>
        <v>0</v>
      </c>
    </row>
    <row r="18" spans="1:19" s="184" customFormat="1" ht="16">
      <c r="A18" s="1058"/>
      <c r="B18" s="62"/>
      <c r="C18" s="377" t="s">
        <v>63</v>
      </c>
      <c r="D18" s="479" t="s">
        <v>1118</v>
      </c>
      <c r="E18" s="377"/>
      <c r="F18" s="1059" t="s">
        <v>1119</v>
      </c>
      <c r="G18" s="1060"/>
      <c r="H18" s="1061" t="s">
        <v>1122</v>
      </c>
      <c r="I18" s="1062">
        <v>3000000</v>
      </c>
      <c r="J18" s="1055"/>
      <c r="K18" s="1056">
        <f>Table_D21214[[#This Row],[기준일 현재 
집행액]]/Table_D21214[[#This Row],[사업비 예산]]</f>
        <v>0</v>
      </c>
      <c r="L18" s="1063" t="s">
        <v>1093</v>
      </c>
      <c r="M18" s="1"/>
      <c r="N18" s="311"/>
      <c r="O18" s="82"/>
      <c r="P18" s="1055"/>
      <c r="Q18" s="1056"/>
      <c r="R18" s="82"/>
      <c r="S18" s="229"/>
    </row>
    <row r="19" spans="1:19" s="184" customFormat="1" ht="16">
      <c r="A19" s="1049" t="s">
        <v>66</v>
      </c>
      <c r="B19" s="1050" t="s">
        <v>1103</v>
      </c>
      <c r="C19" s="1051" t="s">
        <v>7</v>
      </c>
      <c r="D19" s="1052" t="s">
        <v>1107</v>
      </c>
      <c r="E19" s="1051" t="s">
        <v>125</v>
      </c>
      <c r="F19" s="1053" t="s">
        <v>1123</v>
      </c>
      <c r="G19" s="1051" t="s">
        <v>74</v>
      </c>
      <c r="H19" s="91" t="s">
        <v>1124</v>
      </c>
      <c r="I19" s="1054">
        <v>20000000</v>
      </c>
      <c r="J19" s="1055"/>
      <c r="K19" s="1056">
        <f>Table_D21214[[#This Row],[기준일 현재 
집행액]]/Table_D21214[[#This Row],[사업비 예산]]</f>
        <v>0</v>
      </c>
      <c r="L19" s="1057" t="s">
        <v>1093</v>
      </c>
      <c r="M19" s="1"/>
      <c r="N19" s="311"/>
      <c r="O19" s="82"/>
      <c r="P19" s="1055"/>
      <c r="Q19" s="1056" t="e">
        <f t="shared" si="0"/>
        <v>#DIV/0!</v>
      </c>
      <c r="R19" s="82"/>
      <c r="S19" s="229">
        <f t="shared" si="1"/>
        <v>0</v>
      </c>
    </row>
    <row r="20" spans="1:19" s="184" customFormat="1" ht="16">
      <c r="A20" s="1049" t="s">
        <v>66</v>
      </c>
      <c r="B20" s="1050" t="s">
        <v>1103</v>
      </c>
      <c r="C20" s="1051" t="s">
        <v>7</v>
      </c>
      <c r="D20" s="1052" t="s">
        <v>1107</v>
      </c>
      <c r="E20" s="1051" t="s">
        <v>125</v>
      </c>
      <c r="F20" s="1053" t="s">
        <v>1123</v>
      </c>
      <c r="G20" s="1051" t="s">
        <v>75</v>
      </c>
      <c r="H20" s="91" t="s">
        <v>1125</v>
      </c>
      <c r="I20" s="1054">
        <v>8000000</v>
      </c>
      <c r="J20" s="1055">
        <v>1230000</v>
      </c>
      <c r="K20" s="1056">
        <f>Table_D21214[[#This Row],[기준일 현재 
집행액]]/Table_D21214[[#This Row],[사업비 예산]]</f>
        <v>0.15375</v>
      </c>
      <c r="L20" s="1057" t="s">
        <v>1091</v>
      </c>
      <c r="M20" s="1"/>
      <c r="N20" s="311"/>
      <c r="O20" s="82"/>
      <c r="P20" s="1055"/>
      <c r="Q20" s="1056" t="e">
        <f t="shared" si="0"/>
        <v>#DIV/0!</v>
      </c>
      <c r="R20" s="82"/>
      <c r="S20" s="229">
        <f t="shared" si="1"/>
        <v>0</v>
      </c>
    </row>
    <row r="21" spans="1:19" s="184" customFormat="1" ht="16">
      <c r="A21" s="1049" t="s">
        <v>66</v>
      </c>
      <c r="B21" s="1050" t="s">
        <v>1103</v>
      </c>
      <c r="C21" s="1051" t="s">
        <v>7</v>
      </c>
      <c r="D21" s="1052" t="s">
        <v>1107</v>
      </c>
      <c r="E21" s="1051" t="s">
        <v>125</v>
      </c>
      <c r="F21" s="1053" t="s">
        <v>1123</v>
      </c>
      <c r="G21" s="1051" t="s">
        <v>76</v>
      </c>
      <c r="H21" s="91" t="s">
        <v>1126</v>
      </c>
      <c r="I21" s="1054">
        <v>10000000</v>
      </c>
      <c r="J21" s="1055"/>
      <c r="K21" s="1056">
        <f>Table_D21214[[#This Row],[기준일 현재 
집행액]]/Table_D21214[[#This Row],[사업비 예산]]</f>
        <v>0</v>
      </c>
      <c r="L21" s="1057" t="s">
        <v>1091</v>
      </c>
      <c r="M21" s="1"/>
      <c r="N21" s="311"/>
      <c r="O21" s="82"/>
      <c r="P21" s="1055"/>
      <c r="Q21" s="1056" t="e">
        <f t="shared" si="0"/>
        <v>#DIV/0!</v>
      </c>
      <c r="R21" s="82"/>
      <c r="S21" s="229">
        <f t="shared" si="1"/>
        <v>0</v>
      </c>
    </row>
    <row r="22" spans="1:19" s="184" customFormat="1" ht="16">
      <c r="A22" s="1049" t="s">
        <v>8</v>
      </c>
      <c r="B22" s="1050" t="s">
        <v>1127</v>
      </c>
      <c r="C22" s="1051" t="s">
        <v>9</v>
      </c>
      <c r="D22" s="1052" t="s">
        <v>1128</v>
      </c>
      <c r="E22" s="1051" t="s">
        <v>130</v>
      </c>
      <c r="F22" s="1053" t="s">
        <v>1128</v>
      </c>
      <c r="G22" s="1051" t="s">
        <v>78</v>
      </c>
      <c r="H22" s="91" t="s">
        <v>1129</v>
      </c>
      <c r="I22" s="1054" t="s">
        <v>1130</v>
      </c>
      <c r="J22" s="1055"/>
      <c r="K22" s="1056" t="e">
        <f>Table_D21214[[#This Row],[기준일 현재 
집행액]]/Table_D21214[[#This Row],[사업비 예산]]</f>
        <v>#VALUE!</v>
      </c>
      <c r="L22" s="1057" t="s">
        <v>1091</v>
      </c>
      <c r="M22" s="1"/>
      <c r="N22" s="311"/>
      <c r="O22" s="82"/>
      <c r="P22" s="1055"/>
      <c r="Q22" s="1056" t="e">
        <f t="shared" si="0"/>
        <v>#DIV/0!</v>
      </c>
      <c r="R22" s="82"/>
      <c r="S22" s="229">
        <f t="shared" si="1"/>
        <v>0</v>
      </c>
    </row>
    <row r="23" spans="1:19" s="184" customFormat="1" ht="16">
      <c r="A23" s="1049" t="s">
        <v>1131</v>
      </c>
      <c r="B23" s="1050" t="s">
        <v>1132</v>
      </c>
      <c r="C23" s="1051" t="s">
        <v>10</v>
      </c>
      <c r="D23" s="1052" t="s">
        <v>1133</v>
      </c>
      <c r="E23" s="1051" t="s">
        <v>131</v>
      </c>
      <c r="F23" s="1053" t="s">
        <v>1134</v>
      </c>
      <c r="G23" s="1051" t="s">
        <v>82</v>
      </c>
      <c r="H23" s="91" t="s">
        <v>1135</v>
      </c>
      <c r="I23" s="1054">
        <v>5000000</v>
      </c>
      <c r="J23" s="1055"/>
      <c r="K23" s="1056">
        <f>Table_D21214[[#This Row],[기준일 현재 
집행액]]/Table_D21214[[#This Row],[사업비 예산]]</f>
        <v>0</v>
      </c>
      <c r="L23" s="1057" t="s">
        <v>1091</v>
      </c>
      <c r="M23" s="1"/>
      <c r="N23" s="311"/>
      <c r="O23" s="82"/>
      <c r="P23" s="1055"/>
      <c r="Q23" s="1056" t="e">
        <f t="shared" si="0"/>
        <v>#DIV/0!</v>
      </c>
      <c r="R23" s="82"/>
      <c r="S23" s="229">
        <f t="shared" si="1"/>
        <v>0</v>
      </c>
    </row>
    <row r="24" spans="1:19" s="184" customFormat="1" ht="16">
      <c r="A24" s="1049" t="s">
        <v>1131</v>
      </c>
      <c r="B24" s="1050" t="s">
        <v>1132</v>
      </c>
      <c r="C24" s="1051" t="s">
        <v>10</v>
      </c>
      <c r="D24" s="1052" t="s">
        <v>1133</v>
      </c>
      <c r="E24" s="1051" t="s">
        <v>131</v>
      </c>
      <c r="F24" s="1053" t="s">
        <v>1134</v>
      </c>
      <c r="G24" s="1051" t="s">
        <v>388</v>
      </c>
      <c r="H24" s="91" t="s">
        <v>1136</v>
      </c>
      <c r="I24" s="1054">
        <v>7000000</v>
      </c>
      <c r="J24" s="1055"/>
      <c r="K24" s="1056">
        <f>Table_D21214[[#This Row],[기준일 현재 
집행액]]/Table_D21214[[#This Row],[사업비 예산]]</f>
        <v>0</v>
      </c>
      <c r="L24" s="1057" t="s">
        <v>1091</v>
      </c>
      <c r="M24" s="1"/>
      <c r="N24" s="311"/>
      <c r="O24" s="82"/>
      <c r="P24" s="1055"/>
      <c r="Q24" s="1056" t="e">
        <f t="shared" si="0"/>
        <v>#DIV/0!</v>
      </c>
      <c r="R24" s="82"/>
      <c r="S24" s="229">
        <f t="shared" si="1"/>
        <v>0</v>
      </c>
    </row>
    <row r="25" spans="1:19" s="184" customFormat="1" ht="16">
      <c r="A25" s="1049" t="s">
        <v>1131</v>
      </c>
      <c r="B25" s="1050" t="s">
        <v>1132</v>
      </c>
      <c r="C25" s="1051" t="s">
        <v>10</v>
      </c>
      <c r="D25" s="1052" t="s">
        <v>1133</v>
      </c>
      <c r="E25" s="1051" t="s">
        <v>294</v>
      </c>
      <c r="F25" s="1053" t="s">
        <v>1137</v>
      </c>
      <c r="G25" s="1051" t="s">
        <v>83</v>
      </c>
      <c r="H25" s="91" t="s">
        <v>1138</v>
      </c>
      <c r="I25" s="1054" t="s">
        <v>1113</v>
      </c>
      <c r="J25" s="1055"/>
      <c r="K25" s="1056" t="e">
        <f>Table_D21214[[#This Row],[기준일 현재 
집행액]]/Table_D21214[[#This Row],[사업비 예산]]</f>
        <v>#VALUE!</v>
      </c>
      <c r="L25" s="1057" t="s">
        <v>1091</v>
      </c>
      <c r="M25" s="1"/>
      <c r="N25" s="311"/>
      <c r="O25" s="82"/>
      <c r="P25" s="1055"/>
      <c r="Q25" s="1056" t="e">
        <f t="shared" si="0"/>
        <v>#DIV/0!</v>
      </c>
      <c r="R25" s="82"/>
      <c r="S25" s="229">
        <f t="shared" si="1"/>
        <v>0</v>
      </c>
    </row>
    <row r="26" spans="1:19" s="184" customFormat="1" ht="16">
      <c r="A26" s="1049" t="s">
        <v>1131</v>
      </c>
      <c r="B26" s="1050" t="s">
        <v>1132</v>
      </c>
      <c r="C26" s="1051" t="s">
        <v>10</v>
      </c>
      <c r="D26" s="1052" t="s">
        <v>1133</v>
      </c>
      <c r="E26" s="1051" t="s">
        <v>294</v>
      </c>
      <c r="F26" s="1053" t="s">
        <v>1137</v>
      </c>
      <c r="G26" s="1051" t="s">
        <v>442</v>
      </c>
      <c r="H26" s="91" t="s">
        <v>1139</v>
      </c>
      <c r="I26" s="1054">
        <v>14000000</v>
      </c>
      <c r="J26" s="1055">
        <v>12465000</v>
      </c>
      <c r="K26" s="1056">
        <f>Table_D21214[[#This Row],[기준일 현재 
집행액]]/Table_D21214[[#This Row],[사업비 예산]]</f>
        <v>0.89035714285714285</v>
      </c>
      <c r="L26" s="1057" t="s">
        <v>1093</v>
      </c>
      <c r="M26" s="1"/>
      <c r="N26" s="311"/>
      <c r="O26" s="82"/>
      <c r="P26" s="1055"/>
      <c r="Q26" s="1056" t="e">
        <f t="shared" si="0"/>
        <v>#DIV/0!</v>
      </c>
      <c r="R26" s="82"/>
      <c r="S26" s="229">
        <f t="shared" si="1"/>
        <v>0</v>
      </c>
    </row>
    <row r="27" spans="1:19" s="184" customFormat="1" ht="16">
      <c r="A27" s="1049" t="s">
        <v>1131</v>
      </c>
      <c r="B27" s="1050" t="s">
        <v>1132</v>
      </c>
      <c r="C27" s="1051" t="s">
        <v>10</v>
      </c>
      <c r="D27" s="1052" t="s">
        <v>1133</v>
      </c>
      <c r="E27" s="1051" t="s">
        <v>294</v>
      </c>
      <c r="F27" s="1053" t="s">
        <v>1137</v>
      </c>
      <c r="G27" s="1051" t="s">
        <v>84</v>
      </c>
      <c r="H27" s="91" t="s">
        <v>1140</v>
      </c>
      <c r="I27" s="1054">
        <v>14000000</v>
      </c>
      <c r="J27" s="1055">
        <v>13403100</v>
      </c>
      <c r="K27" s="1056">
        <f>Table_D21214[[#This Row],[기준일 현재 
집행액]]/Table_D21214[[#This Row],[사업비 예산]]</f>
        <v>0.95736428571428567</v>
      </c>
      <c r="L27" s="1057" t="s">
        <v>1093</v>
      </c>
      <c r="M27" s="1"/>
      <c r="N27" s="311"/>
      <c r="O27" s="82"/>
      <c r="P27" s="1055"/>
      <c r="Q27" s="1056" t="e">
        <f t="shared" si="0"/>
        <v>#DIV/0!</v>
      </c>
      <c r="R27" s="82"/>
      <c r="S27" s="229">
        <f t="shared" si="1"/>
        <v>0</v>
      </c>
    </row>
    <row r="28" spans="1:19" s="184" customFormat="1" ht="16">
      <c r="A28" s="1049" t="s">
        <v>1131</v>
      </c>
      <c r="B28" s="1050" t="s">
        <v>1132</v>
      </c>
      <c r="C28" s="1051" t="s">
        <v>1141</v>
      </c>
      <c r="D28" s="1052" t="s">
        <v>1142</v>
      </c>
      <c r="E28" s="1051" t="s">
        <v>299</v>
      </c>
      <c r="F28" s="1053" t="s">
        <v>1143</v>
      </c>
      <c r="G28" s="1051" t="s">
        <v>86</v>
      </c>
      <c r="H28" s="91" t="s">
        <v>1144</v>
      </c>
      <c r="I28" s="1054">
        <v>1000000</v>
      </c>
      <c r="J28" s="1055"/>
      <c r="K28" s="1056">
        <f>Table_D21214[[#This Row],[기준일 현재 
집행액]]/Table_D21214[[#This Row],[사업비 예산]]</f>
        <v>0</v>
      </c>
      <c r="L28" s="1057" t="s">
        <v>1093</v>
      </c>
      <c r="M28" s="1"/>
      <c r="N28" s="311"/>
      <c r="O28" s="82"/>
      <c r="P28" s="1055"/>
      <c r="Q28" s="1056" t="e">
        <f t="shared" si="0"/>
        <v>#DIV/0!</v>
      </c>
      <c r="R28" s="82"/>
      <c r="S28" s="229">
        <f t="shared" si="1"/>
        <v>0</v>
      </c>
    </row>
    <row r="29" spans="1:19" s="184" customFormat="1" ht="16">
      <c r="A29" s="1049" t="s">
        <v>1145</v>
      </c>
      <c r="B29" s="1050" t="s">
        <v>1146</v>
      </c>
      <c r="C29" s="1051" t="s">
        <v>1147</v>
      </c>
      <c r="D29" s="1052" t="s">
        <v>1148</v>
      </c>
      <c r="E29" s="1051" t="s">
        <v>325</v>
      </c>
      <c r="F29" s="1053" t="s">
        <v>1149</v>
      </c>
      <c r="G29" s="1051" t="s">
        <v>88</v>
      </c>
      <c r="H29" s="91" t="s">
        <v>1150</v>
      </c>
      <c r="I29" s="1054">
        <v>15000000</v>
      </c>
      <c r="J29" s="1055"/>
      <c r="K29" s="1056">
        <f>Table_D21214[[#This Row],[기준일 현재 
집행액]]/Table_D21214[[#This Row],[사업비 예산]]</f>
        <v>0</v>
      </c>
      <c r="L29" s="1057" t="s">
        <v>1093</v>
      </c>
      <c r="M29" s="1"/>
      <c r="N29" s="311"/>
      <c r="O29" s="82"/>
      <c r="P29" s="1055"/>
      <c r="Q29" s="1056" t="e">
        <f t="shared" si="0"/>
        <v>#DIV/0!</v>
      </c>
      <c r="R29" s="82"/>
      <c r="S29" s="229">
        <f t="shared" si="1"/>
        <v>0</v>
      </c>
    </row>
    <row r="30" spans="1:19" s="184" customFormat="1" ht="16">
      <c r="A30" s="1049" t="s">
        <v>1145</v>
      </c>
      <c r="B30" s="1050" t="s">
        <v>1146</v>
      </c>
      <c r="C30" s="1051" t="s">
        <v>1147</v>
      </c>
      <c r="D30" s="1052" t="s">
        <v>1148</v>
      </c>
      <c r="E30" s="1051" t="s">
        <v>325</v>
      </c>
      <c r="F30" s="1053" t="s">
        <v>1149</v>
      </c>
      <c r="G30" s="1051" t="s">
        <v>89</v>
      </c>
      <c r="H30" s="91" t="s">
        <v>1151</v>
      </c>
      <c r="I30" s="1054">
        <v>15000000</v>
      </c>
      <c r="J30" s="1055"/>
      <c r="K30" s="1056">
        <f>Table_D21214[[#This Row],[기준일 현재 
집행액]]/Table_D21214[[#This Row],[사업비 예산]]</f>
        <v>0</v>
      </c>
      <c r="L30" s="1057" t="s">
        <v>1093</v>
      </c>
      <c r="M30" s="1"/>
      <c r="N30" s="311"/>
      <c r="O30" s="82"/>
      <c r="P30" s="1055"/>
      <c r="Q30" s="1056" t="e">
        <f t="shared" si="0"/>
        <v>#DIV/0!</v>
      </c>
      <c r="R30" s="82"/>
      <c r="S30" s="229">
        <f t="shared" si="1"/>
        <v>0</v>
      </c>
    </row>
    <row r="31" spans="1:19" s="184" customFormat="1" ht="16">
      <c r="A31" s="1049" t="s">
        <v>1145</v>
      </c>
      <c r="B31" s="1050" t="s">
        <v>1146</v>
      </c>
      <c r="C31" s="1051" t="s">
        <v>1147</v>
      </c>
      <c r="D31" s="1052" t="s">
        <v>1148</v>
      </c>
      <c r="E31" s="1051" t="s">
        <v>325</v>
      </c>
      <c r="F31" s="1053" t="s">
        <v>1149</v>
      </c>
      <c r="G31" s="1051" t="s">
        <v>90</v>
      </c>
      <c r="H31" s="91" t="s">
        <v>1152</v>
      </c>
      <c r="I31" s="1054">
        <v>15000000</v>
      </c>
      <c r="J31" s="1055"/>
      <c r="K31" s="1056">
        <f>Table_D21214[[#This Row],[기준일 현재 
집행액]]/Table_D21214[[#This Row],[사업비 예산]]</f>
        <v>0</v>
      </c>
      <c r="L31" s="1057" t="s">
        <v>1093</v>
      </c>
      <c r="M31" s="1"/>
      <c r="N31" s="311"/>
      <c r="O31" s="82"/>
      <c r="P31" s="1055"/>
      <c r="Q31" s="1056" t="e">
        <f t="shared" si="0"/>
        <v>#DIV/0!</v>
      </c>
      <c r="R31" s="82"/>
      <c r="S31" s="229">
        <f t="shared" si="1"/>
        <v>0</v>
      </c>
    </row>
    <row r="32" spans="1:19" s="184" customFormat="1" ht="16">
      <c r="A32" s="1049" t="s">
        <v>1145</v>
      </c>
      <c r="B32" s="1050" t="s">
        <v>1146</v>
      </c>
      <c r="C32" s="1051" t="s">
        <v>1147</v>
      </c>
      <c r="D32" s="1052" t="s">
        <v>1148</v>
      </c>
      <c r="E32" s="1051" t="s">
        <v>325</v>
      </c>
      <c r="F32" s="1053" t="s">
        <v>1149</v>
      </c>
      <c r="G32" s="1051" t="s">
        <v>404</v>
      </c>
      <c r="H32" s="91" t="s">
        <v>1153</v>
      </c>
      <c r="I32" s="1054">
        <v>30000000</v>
      </c>
      <c r="J32" s="1055"/>
      <c r="K32" s="1056">
        <f>Table_D21214[[#This Row],[기준일 현재 
집행액]]/Table_D21214[[#This Row],[사업비 예산]]</f>
        <v>0</v>
      </c>
      <c r="L32" s="1057" t="s">
        <v>1093</v>
      </c>
      <c r="M32" s="1"/>
      <c r="N32" s="311"/>
      <c r="O32" s="82"/>
      <c r="P32" s="1055"/>
      <c r="Q32" s="1056" t="e">
        <f t="shared" si="0"/>
        <v>#DIV/0!</v>
      </c>
      <c r="R32" s="82"/>
      <c r="S32" s="229">
        <f t="shared" si="1"/>
        <v>0</v>
      </c>
    </row>
    <row r="33" spans="1:19" s="184" customFormat="1" ht="16">
      <c r="A33" s="1049" t="s">
        <v>1145</v>
      </c>
      <c r="B33" s="1050" t="s">
        <v>1146</v>
      </c>
      <c r="C33" s="1051" t="s">
        <v>1147</v>
      </c>
      <c r="D33" s="1052" t="s">
        <v>1148</v>
      </c>
      <c r="E33" s="1051" t="s">
        <v>325</v>
      </c>
      <c r="F33" s="1053" t="s">
        <v>1149</v>
      </c>
      <c r="G33" s="1051" t="s">
        <v>1154</v>
      </c>
      <c r="H33" s="91" t="s">
        <v>1155</v>
      </c>
      <c r="I33" s="1054">
        <v>10000000</v>
      </c>
      <c r="J33" s="1055"/>
      <c r="K33" s="1056">
        <f>Table_D21214[[#This Row],[기준일 현재 
집행액]]/Table_D21214[[#This Row],[사업비 예산]]</f>
        <v>0</v>
      </c>
      <c r="L33" s="1057" t="s">
        <v>1093</v>
      </c>
      <c r="M33" s="1"/>
      <c r="N33" s="311"/>
      <c r="O33" s="82"/>
      <c r="P33" s="1055"/>
      <c r="Q33" s="1056" t="e">
        <f t="shared" si="0"/>
        <v>#DIV/0!</v>
      </c>
      <c r="R33" s="82"/>
      <c r="S33" s="229">
        <f t="shared" si="1"/>
        <v>0</v>
      </c>
    </row>
    <row r="34" spans="1:19" s="184" customFormat="1" ht="16">
      <c r="A34" s="1049" t="s">
        <v>1145</v>
      </c>
      <c r="B34" s="1050" t="s">
        <v>1146</v>
      </c>
      <c r="C34" s="1051" t="s">
        <v>1147</v>
      </c>
      <c r="D34" s="1052" t="s">
        <v>1148</v>
      </c>
      <c r="E34" s="1051" t="s">
        <v>327</v>
      </c>
      <c r="F34" s="1053" t="s">
        <v>1156</v>
      </c>
      <c r="G34" s="1051" t="s">
        <v>91</v>
      </c>
      <c r="H34" s="91" t="s">
        <v>1157</v>
      </c>
      <c r="I34" s="1054">
        <v>5000000</v>
      </c>
      <c r="J34" s="1055"/>
      <c r="K34" s="1056">
        <f>Table_D21214[[#This Row],[기준일 현재 
집행액]]/Table_D21214[[#This Row],[사업비 예산]]</f>
        <v>0</v>
      </c>
      <c r="L34" s="1057" t="s">
        <v>1093</v>
      </c>
      <c r="M34" s="1"/>
      <c r="N34" s="311"/>
      <c r="O34" s="82"/>
      <c r="P34" s="1055"/>
      <c r="Q34" s="1056" t="e">
        <f t="shared" si="0"/>
        <v>#DIV/0!</v>
      </c>
      <c r="R34" s="82"/>
      <c r="S34" s="229">
        <f t="shared" si="1"/>
        <v>0</v>
      </c>
    </row>
    <row r="35" spans="1:19" s="184" customFormat="1" ht="16">
      <c r="A35" s="1049" t="s">
        <v>1145</v>
      </c>
      <c r="B35" s="1050" t="s">
        <v>1146</v>
      </c>
      <c r="C35" s="1051" t="s">
        <v>1147</v>
      </c>
      <c r="D35" s="1052" t="s">
        <v>1148</v>
      </c>
      <c r="E35" s="1051" t="s">
        <v>327</v>
      </c>
      <c r="F35" s="1053" t="s">
        <v>1156</v>
      </c>
      <c r="G35" s="1051" t="s">
        <v>92</v>
      </c>
      <c r="H35" s="91" t="s">
        <v>1158</v>
      </c>
      <c r="I35" s="1054">
        <v>21000000</v>
      </c>
      <c r="J35" s="1055">
        <v>20697600</v>
      </c>
      <c r="K35" s="1056">
        <f>Table_D21214[[#This Row],[기준일 현재 
집행액]]/Table_D21214[[#This Row],[사업비 예산]]</f>
        <v>0.98560000000000003</v>
      </c>
      <c r="L35" s="1057" t="s">
        <v>1093</v>
      </c>
      <c r="M35" s="1"/>
      <c r="N35" s="311"/>
      <c r="O35" s="82"/>
      <c r="P35" s="1055"/>
      <c r="Q35" s="1056" t="e">
        <f t="shared" si="0"/>
        <v>#DIV/0!</v>
      </c>
      <c r="R35" s="82"/>
      <c r="S35" s="229">
        <f t="shared" si="1"/>
        <v>0</v>
      </c>
    </row>
    <row r="36" spans="1:19" s="184" customFormat="1" ht="16">
      <c r="A36" s="1049" t="s">
        <v>1159</v>
      </c>
      <c r="B36" s="1050" t="s">
        <v>1160</v>
      </c>
      <c r="C36" s="1051" t="s">
        <v>1161</v>
      </c>
      <c r="D36" s="1052" t="s">
        <v>1162</v>
      </c>
      <c r="E36" s="1051" t="s">
        <v>330</v>
      </c>
      <c r="F36" s="1053" t="s">
        <v>1162</v>
      </c>
      <c r="G36" s="1051" t="s">
        <v>93</v>
      </c>
      <c r="H36" s="91" t="s">
        <v>1163</v>
      </c>
      <c r="I36" s="1054">
        <v>5000000</v>
      </c>
      <c r="J36" s="1055"/>
      <c r="K36" s="1056">
        <f>Table_D21214[[#This Row],[기준일 현재 
집행액]]/Table_D21214[[#This Row],[사업비 예산]]</f>
        <v>0</v>
      </c>
      <c r="L36" s="1057" t="s">
        <v>1093</v>
      </c>
      <c r="M36" s="1"/>
      <c r="N36" s="311"/>
      <c r="O36" s="82"/>
      <c r="P36" s="1055"/>
      <c r="Q36" s="1056" t="e">
        <f t="shared" si="0"/>
        <v>#DIV/0!</v>
      </c>
      <c r="R36" s="82"/>
      <c r="S36" s="229">
        <f t="shared" si="1"/>
        <v>0</v>
      </c>
    </row>
    <row r="37" spans="1:19" s="184" customFormat="1" ht="16">
      <c r="A37" s="1049" t="s">
        <v>1159</v>
      </c>
      <c r="B37" s="1050" t="s">
        <v>1160</v>
      </c>
      <c r="C37" s="1051" t="s">
        <v>1161</v>
      </c>
      <c r="D37" s="1052" t="s">
        <v>1162</v>
      </c>
      <c r="E37" s="1051" t="s">
        <v>330</v>
      </c>
      <c r="F37" s="1053" t="s">
        <v>1162</v>
      </c>
      <c r="G37" s="1051" t="s">
        <v>94</v>
      </c>
      <c r="H37" s="91" t="s">
        <v>1164</v>
      </c>
      <c r="I37" s="1054">
        <v>2000000</v>
      </c>
      <c r="J37" s="1055"/>
      <c r="K37" s="1056">
        <f>Table_D21214[[#This Row],[기준일 현재 
집행액]]/Table_D21214[[#This Row],[사업비 예산]]</f>
        <v>0</v>
      </c>
      <c r="L37" s="1057" t="s">
        <v>1093</v>
      </c>
      <c r="M37" s="1"/>
      <c r="N37" s="311"/>
      <c r="O37" s="82"/>
      <c r="P37" s="1055"/>
      <c r="Q37" s="1056" t="e">
        <f t="shared" si="0"/>
        <v>#DIV/0!</v>
      </c>
      <c r="R37" s="82"/>
      <c r="S37" s="229">
        <f t="shared" si="1"/>
        <v>0</v>
      </c>
    </row>
    <row r="38" spans="1:19" s="184" customFormat="1" ht="16">
      <c r="A38" s="1049" t="s">
        <v>1159</v>
      </c>
      <c r="B38" s="1050" t="s">
        <v>1160</v>
      </c>
      <c r="C38" s="1051" t="s">
        <v>1161</v>
      </c>
      <c r="D38" s="1052" t="s">
        <v>1162</v>
      </c>
      <c r="E38" s="1051" t="s">
        <v>330</v>
      </c>
      <c r="F38" s="1053" t="s">
        <v>1162</v>
      </c>
      <c r="G38" s="1051" t="s">
        <v>95</v>
      </c>
      <c r="H38" s="91" t="s">
        <v>1165</v>
      </c>
      <c r="I38" s="1054">
        <v>5000000</v>
      </c>
      <c r="J38" s="1055"/>
      <c r="K38" s="1056">
        <f>Table_D21214[[#This Row],[기준일 현재 
집행액]]/Table_D21214[[#This Row],[사업비 예산]]</f>
        <v>0</v>
      </c>
      <c r="L38" s="1057" t="s">
        <v>1093</v>
      </c>
      <c r="M38" s="1"/>
      <c r="N38" s="311"/>
      <c r="O38" s="82"/>
      <c r="P38" s="1055"/>
      <c r="Q38" s="1056" t="e">
        <f t="shared" si="0"/>
        <v>#DIV/0!</v>
      </c>
      <c r="R38" s="82"/>
      <c r="S38" s="229">
        <f t="shared" si="1"/>
        <v>0</v>
      </c>
    </row>
    <row r="39" spans="1:19" s="184" customFormat="1" ht="16">
      <c r="A39" s="1049" t="s">
        <v>1159</v>
      </c>
      <c r="B39" s="1050" t="s">
        <v>1160</v>
      </c>
      <c r="C39" s="1051" t="s">
        <v>1166</v>
      </c>
      <c r="D39" s="1052" t="s">
        <v>1167</v>
      </c>
      <c r="E39" s="1051" t="s">
        <v>332</v>
      </c>
      <c r="F39" s="1053" t="s">
        <v>1167</v>
      </c>
      <c r="G39" s="1051" t="s">
        <v>96</v>
      </c>
      <c r="H39" s="91" t="s">
        <v>1168</v>
      </c>
      <c r="I39" s="1054">
        <v>2600000</v>
      </c>
      <c r="J39" s="1055"/>
      <c r="K39" s="1056">
        <f>Table_D21214[[#This Row],[기준일 현재 
집행액]]/Table_D21214[[#This Row],[사업비 예산]]</f>
        <v>0</v>
      </c>
      <c r="L39" s="1057" t="s">
        <v>1091</v>
      </c>
      <c r="M39" s="1"/>
      <c r="N39" s="311"/>
      <c r="O39" s="82"/>
      <c r="P39" s="1055"/>
      <c r="Q39" s="1056" t="e">
        <f t="shared" si="0"/>
        <v>#DIV/0!</v>
      </c>
      <c r="R39" s="82"/>
      <c r="S39" s="229">
        <f t="shared" si="1"/>
        <v>0</v>
      </c>
    </row>
    <row r="40" spans="1:19" ht="16">
      <c r="A40" s="230"/>
      <c r="B40" s="231"/>
      <c r="C40" s="232"/>
      <c r="D40" s="222"/>
      <c r="E40" s="232"/>
      <c r="F40" s="233"/>
      <c r="G40" s="234"/>
      <c r="H40" s="235" t="s">
        <v>1169</v>
      </c>
      <c r="I40" s="236">
        <f>SUM(I3:I39)</f>
        <v>287000000</v>
      </c>
      <c r="J40" s="236">
        <f>SUM(J3:J39)</f>
        <v>47795700</v>
      </c>
      <c r="K40" s="365">
        <f>Table_D21214[[#This Row],[기준일 현재 
집행액]]/Table_D21214[[#This Row],[사업비 예산]]</f>
        <v>0.16653554006968641</v>
      </c>
      <c r="L40" s="237"/>
      <c r="N40" s="117"/>
      <c r="O40" s="1064">
        <f>SUM(O3:O39)</f>
        <v>0</v>
      </c>
      <c r="P40" s="1064">
        <f>SUM(P3:P39)</f>
        <v>0</v>
      </c>
      <c r="Q40" s="1056" t="e">
        <f>P40/O40</f>
        <v>#DIV/0!</v>
      </c>
      <c r="R40" s="117"/>
      <c r="S40" s="1064">
        <f>SUM(S3:S39)</f>
        <v>0</v>
      </c>
    </row>
  </sheetData>
  <mergeCells count="2">
    <mergeCell ref="G1:L1"/>
    <mergeCell ref="N1:R1"/>
  </mergeCells>
  <pageMargins left="0.25" right="0.25" top="0.75" bottom="0.75" header="0.3" footer="0.3"/>
  <pageSetup paperSize="8" scale="46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3E39-93D8-4F49-A908-8F306BB3932F}">
  <sheetPr>
    <pageSetUpPr fitToPage="1"/>
  </sheetPr>
  <dimension ref="A1:S28"/>
  <sheetViews>
    <sheetView topLeftCell="D1" zoomScale="85" zoomScaleNormal="85" workbookViewId="0">
      <selection activeCell="P9" sqref="P9"/>
    </sheetView>
  </sheetViews>
  <sheetFormatPr baseColWidth="10" defaultColWidth="9" defaultRowHeight="15"/>
  <cols>
    <col min="1" max="1" width="8.83203125" style="1" customWidth="1"/>
    <col min="2" max="2" width="45.83203125" style="1" customWidth="1"/>
    <col min="3" max="3" width="8.83203125" style="1" customWidth="1"/>
    <col min="4" max="4" width="45.83203125" style="1" customWidth="1"/>
    <col min="5" max="5" width="8.83203125" style="1" customWidth="1"/>
    <col min="6" max="6" width="45.83203125" style="1" customWidth="1"/>
    <col min="7" max="7" width="8.83203125" style="1" customWidth="1"/>
    <col min="8" max="8" width="40.83203125" style="1" customWidth="1"/>
    <col min="9" max="9" width="20.5" style="1" bestFit="1" customWidth="1"/>
    <col min="10" max="10" width="20.5" style="1" customWidth="1"/>
    <col min="11" max="11" width="20.5" style="351" customWidth="1"/>
    <col min="12" max="12" width="10.83203125" style="1" customWidth="1"/>
    <col min="13" max="13" width="2.6640625" style="1" hidden="1" customWidth="1"/>
    <col min="14" max="14" width="44.5" style="1" customWidth="1"/>
    <col min="15" max="15" width="20.5" style="1" bestFit="1" customWidth="1"/>
    <col min="16" max="16" width="16.1640625" style="78" customWidth="1"/>
    <col min="17" max="17" width="16.1640625" style="357" customWidth="1"/>
    <col min="18" max="18" width="10.83203125" style="1" customWidth="1"/>
    <col min="19" max="19" width="13.33203125" style="78" customWidth="1"/>
    <col min="20" max="16384" width="9" style="1"/>
  </cols>
  <sheetData>
    <row r="1" spans="1:19" s="34" customFormat="1" ht="55" customHeight="1">
      <c r="A1" s="248" t="s">
        <v>472</v>
      </c>
      <c r="B1" s="247" t="s">
        <v>476</v>
      </c>
      <c r="C1" s="244" t="s">
        <v>472</v>
      </c>
      <c r="D1" s="245" t="s">
        <v>477</v>
      </c>
      <c r="E1" s="246" t="s">
        <v>474</v>
      </c>
      <c r="F1" s="247" t="s">
        <v>478</v>
      </c>
      <c r="G1" s="378" t="s">
        <v>491</v>
      </c>
      <c r="H1" s="379"/>
      <c r="I1" s="379"/>
      <c r="J1" s="379"/>
      <c r="K1" s="379"/>
      <c r="L1" s="380"/>
      <c r="N1" s="381" t="s">
        <v>496</v>
      </c>
      <c r="O1" s="382"/>
      <c r="P1" s="382"/>
      <c r="Q1" s="382"/>
      <c r="R1" s="382"/>
      <c r="S1" s="245"/>
    </row>
    <row r="2" spans="1:19" ht="40" customHeight="1">
      <c r="A2" s="176" t="s">
        <v>27</v>
      </c>
      <c r="B2" s="176" t="s">
        <v>0</v>
      </c>
      <c r="C2" s="177" t="s">
        <v>28</v>
      </c>
      <c r="D2" s="177" t="s">
        <v>1</v>
      </c>
      <c r="E2" s="178" t="s">
        <v>29</v>
      </c>
      <c r="F2" s="178" t="s">
        <v>13</v>
      </c>
      <c r="G2" s="124" t="s">
        <v>30</v>
      </c>
      <c r="H2" s="306" t="s">
        <v>494</v>
      </c>
      <c r="I2" s="307" t="s">
        <v>495</v>
      </c>
      <c r="J2" s="307" t="s">
        <v>492</v>
      </c>
      <c r="K2" s="358" t="s">
        <v>489</v>
      </c>
      <c r="L2" s="305" t="s">
        <v>488</v>
      </c>
      <c r="M2" s="34"/>
      <c r="N2" s="125" t="s">
        <v>494</v>
      </c>
      <c r="O2" s="125" t="s">
        <v>495</v>
      </c>
      <c r="P2" s="313" t="s">
        <v>493</v>
      </c>
      <c r="Q2" s="341" t="s">
        <v>490</v>
      </c>
      <c r="R2" s="125" t="s">
        <v>35</v>
      </c>
      <c r="S2" s="314" t="s">
        <v>99</v>
      </c>
    </row>
    <row r="3" spans="1:19" s="184" customFormat="1" ht="30" customHeight="1">
      <c r="A3" s="92" t="s">
        <v>2</v>
      </c>
      <c r="B3" s="45" t="s">
        <v>412</v>
      </c>
      <c r="C3" s="46" t="s">
        <v>3</v>
      </c>
      <c r="D3" s="47" t="s">
        <v>413</v>
      </c>
      <c r="E3" s="48" t="s">
        <v>139</v>
      </c>
      <c r="F3" s="49" t="s">
        <v>414</v>
      </c>
      <c r="G3" s="50" t="s">
        <v>36</v>
      </c>
      <c r="H3" s="51" t="s">
        <v>415</v>
      </c>
      <c r="I3" s="81">
        <v>15000</v>
      </c>
      <c r="J3" s="134"/>
      <c r="K3" s="344">
        <f t="shared" ref="K3:K27" si="0">J3/I3</f>
        <v>0</v>
      </c>
      <c r="L3" s="134" t="s">
        <v>347</v>
      </c>
      <c r="M3" s="179"/>
      <c r="N3" s="180"/>
      <c r="O3" s="134"/>
      <c r="P3" s="181"/>
      <c r="Q3" s="353"/>
      <c r="R3" s="182"/>
      <c r="S3" s="183"/>
    </row>
    <row r="4" spans="1:19" s="184" customFormat="1" ht="30" customHeight="1">
      <c r="A4" s="92" t="s">
        <v>2</v>
      </c>
      <c r="B4" s="45" t="s">
        <v>412</v>
      </c>
      <c r="C4" s="46" t="s">
        <v>3</v>
      </c>
      <c r="D4" s="47" t="s">
        <v>413</v>
      </c>
      <c r="E4" s="48" t="s">
        <v>11</v>
      </c>
      <c r="F4" s="49" t="s">
        <v>414</v>
      </c>
      <c r="G4" s="56" t="s">
        <v>37</v>
      </c>
      <c r="H4" s="57" t="s">
        <v>416</v>
      </c>
      <c r="I4" s="83">
        <v>20000</v>
      </c>
      <c r="J4" s="142"/>
      <c r="K4" s="343">
        <f t="shared" si="0"/>
        <v>0</v>
      </c>
      <c r="L4" s="142" t="s">
        <v>347</v>
      </c>
      <c r="M4" s="179"/>
      <c r="N4" s="185"/>
      <c r="O4" s="142"/>
      <c r="P4" s="186"/>
      <c r="Q4" s="354"/>
      <c r="R4" s="187"/>
      <c r="S4" s="183"/>
    </row>
    <row r="5" spans="1:19" s="184" customFormat="1" ht="36.75" customHeight="1">
      <c r="A5" s="92" t="s">
        <v>2</v>
      </c>
      <c r="B5" s="45" t="s">
        <v>412</v>
      </c>
      <c r="C5" s="46" t="s">
        <v>3</v>
      </c>
      <c r="D5" s="47" t="s">
        <v>413</v>
      </c>
      <c r="E5" s="54" t="s">
        <v>12</v>
      </c>
      <c r="F5" s="55" t="s">
        <v>417</v>
      </c>
      <c r="G5" s="65" t="s">
        <v>39</v>
      </c>
      <c r="H5" s="66" t="s">
        <v>418</v>
      </c>
      <c r="I5" s="86">
        <v>28000</v>
      </c>
      <c r="J5" s="134"/>
      <c r="K5" s="344">
        <f t="shared" si="0"/>
        <v>0</v>
      </c>
      <c r="L5" s="134" t="s">
        <v>402</v>
      </c>
      <c r="M5" s="179"/>
      <c r="N5" s="188"/>
      <c r="O5" s="134"/>
      <c r="P5" s="181"/>
      <c r="Q5" s="353"/>
      <c r="R5" s="182"/>
      <c r="S5" s="183"/>
    </row>
    <row r="6" spans="1:19" s="184" customFormat="1" ht="30" customHeight="1">
      <c r="A6" s="92" t="s">
        <v>2</v>
      </c>
      <c r="B6" s="45" t="s">
        <v>412</v>
      </c>
      <c r="C6" s="189" t="s">
        <v>46</v>
      </c>
      <c r="D6" s="190" t="s">
        <v>419</v>
      </c>
      <c r="E6" s="63" t="s">
        <v>14</v>
      </c>
      <c r="F6" s="64" t="s">
        <v>420</v>
      </c>
      <c r="G6" s="56" t="s">
        <v>44</v>
      </c>
      <c r="H6" s="57"/>
      <c r="I6" s="83"/>
      <c r="J6" s="142"/>
      <c r="K6" s="343"/>
      <c r="L6" s="142"/>
      <c r="M6" s="179"/>
      <c r="N6" s="138"/>
      <c r="O6" s="142"/>
      <c r="P6" s="186"/>
      <c r="Q6" s="354"/>
      <c r="R6" s="187"/>
      <c r="S6" s="183"/>
    </row>
    <row r="7" spans="1:19" s="184" customFormat="1" ht="30" customHeight="1">
      <c r="A7" s="92" t="s">
        <v>2</v>
      </c>
      <c r="B7" s="45" t="s">
        <v>412</v>
      </c>
      <c r="C7" s="189" t="s">
        <v>46</v>
      </c>
      <c r="D7" s="190" t="s">
        <v>419</v>
      </c>
      <c r="E7" s="67"/>
      <c r="F7" s="68" t="s">
        <v>421</v>
      </c>
      <c r="G7" s="65" t="s">
        <v>47</v>
      </c>
      <c r="H7" s="73" t="s">
        <v>422</v>
      </c>
      <c r="I7" s="86"/>
      <c r="J7" s="134"/>
      <c r="K7" s="344"/>
      <c r="L7" s="134" t="s">
        <v>402</v>
      </c>
      <c r="M7" s="179"/>
      <c r="N7" s="143"/>
      <c r="O7" s="134"/>
      <c r="P7" s="181"/>
      <c r="Q7" s="353"/>
      <c r="R7" s="182"/>
      <c r="S7" s="183"/>
    </row>
    <row r="8" spans="1:19" s="184" customFormat="1" ht="30" customHeight="1">
      <c r="A8" s="92" t="s">
        <v>2</v>
      </c>
      <c r="B8" s="45" t="s">
        <v>412</v>
      </c>
      <c r="C8" s="189" t="s">
        <v>46</v>
      </c>
      <c r="D8" s="190" t="s">
        <v>419</v>
      </c>
      <c r="E8" s="63" t="s">
        <v>15</v>
      </c>
      <c r="F8" s="64" t="s">
        <v>423</v>
      </c>
      <c r="G8" s="56" t="s">
        <v>67</v>
      </c>
      <c r="H8" s="62" t="s">
        <v>424</v>
      </c>
      <c r="I8" s="83">
        <v>150000</v>
      </c>
      <c r="J8" s="142"/>
      <c r="K8" s="343">
        <f t="shared" si="0"/>
        <v>0</v>
      </c>
      <c r="L8" s="142" t="s">
        <v>402</v>
      </c>
      <c r="M8" s="179"/>
      <c r="N8" s="138" t="s">
        <v>500</v>
      </c>
      <c r="O8" s="142">
        <v>20000</v>
      </c>
      <c r="P8" s="186">
        <v>16021</v>
      </c>
      <c r="Q8" s="354">
        <f>P8/O8</f>
        <v>0.80105000000000004</v>
      </c>
      <c r="R8" s="316" t="s">
        <v>402</v>
      </c>
      <c r="S8" s="183">
        <f>O8-P8</f>
        <v>3979</v>
      </c>
    </row>
    <row r="9" spans="1:19" s="184" customFormat="1" ht="38.25" customHeight="1">
      <c r="A9" s="92" t="s">
        <v>2</v>
      </c>
      <c r="B9" s="45" t="s">
        <v>412</v>
      </c>
      <c r="C9" s="189" t="s">
        <v>46</v>
      </c>
      <c r="D9" s="190" t="s">
        <v>419</v>
      </c>
      <c r="E9" s="63" t="s">
        <v>15</v>
      </c>
      <c r="F9" s="64" t="s">
        <v>423</v>
      </c>
      <c r="G9" s="65" t="s">
        <v>68</v>
      </c>
      <c r="H9" s="73" t="s">
        <v>425</v>
      </c>
      <c r="I9" s="86">
        <v>60000</v>
      </c>
      <c r="J9" s="134"/>
      <c r="K9" s="344">
        <f t="shared" si="0"/>
        <v>0</v>
      </c>
      <c r="L9" s="134" t="s">
        <v>354</v>
      </c>
      <c r="M9" s="179"/>
      <c r="N9" s="143"/>
      <c r="O9" s="134"/>
      <c r="P9" s="181"/>
      <c r="Q9" s="353"/>
      <c r="R9" s="182"/>
      <c r="S9" s="191"/>
    </row>
    <row r="10" spans="1:19" s="184" customFormat="1" ht="30" customHeight="1">
      <c r="A10" s="192" t="s">
        <v>60</v>
      </c>
      <c r="B10" s="190" t="s">
        <v>426</v>
      </c>
      <c r="C10" s="69" t="s">
        <v>54</v>
      </c>
      <c r="D10" s="47" t="s">
        <v>427</v>
      </c>
      <c r="E10" s="61" t="s">
        <v>16</v>
      </c>
      <c r="F10" s="74" t="s">
        <v>428</v>
      </c>
      <c r="G10" s="56" t="s">
        <v>69</v>
      </c>
      <c r="H10" s="62" t="s">
        <v>429</v>
      </c>
      <c r="I10" s="83">
        <v>25000</v>
      </c>
      <c r="J10" s="142"/>
      <c r="K10" s="343">
        <f t="shared" si="0"/>
        <v>0</v>
      </c>
      <c r="L10" s="142" t="s">
        <v>402</v>
      </c>
      <c r="M10" s="179"/>
      <c r="N10" s="138"/>
      <c r="O10" s="142"/>
      <c r="P10" s="186"/>
      <c r="Q10" s="354"/>
      <c r="R10" s="187"/>
      <c r="S10" s="183"/>
    </row>
    <row r="11" spans="1:19" s="184" customFormat="1" ht="30" customHeight="1">
      <c r="A11" s="192" t="s">
        <v>60</v>
      </c>
      <c r="B11" s="190" t="s">
        <v>426</v>
      </c>
      <c r="C11" s="69" t="s">
        <v>54</v>
      </c>
      <c r="D11" s="47" t="s">
        <v>427</v>
      </c>
      <c r="E11" s="61" t="s">
        <v>16</v>
      </c>
      <c r="F11" s="74" t="s">
        <v>430</v>
      </c>
      <c r="G11" s="65" t="s">
        <v>71</v>
      </c>
      <c r="H11" s="73" t="s">
        <v>431</v>
      </c>
      <c r="I11" s="86">
        <v>20000</v>
      </c>
      <c r="J11" s="134"/>
      <c r="K11" s="344">
        <f t="shared" si="0"/>
        <v>0</v>
      </c>
      <c r="L11" s="134" t="s">
        <v>402</v>
      </c>
      <c r="M11" s="179"/>
      <c r="N11" s="143"/>
      <c r="O11" s="134"/>
      <c r="P11" s="181"/>
      <c r="Q11" s="353"/>
      <c r="R11" s="182"/>
      <c r="S11" s="183"/>
    </row>
    <row r="12" spans="1:19" s="184" customFormat="1" ht="30" customHeight="1">
      <c r="A12" s="192" t="s">
        <v>60</v>
      </c>
      <c r="B12" s="190" t="s">
        <v>426</v>
      </c>
      <c r="C12" s="69" t="s">
        <v>54</v>
      </c>
      <c r="D12" s="47" t="s">
        <v>427</v>
      </c>
      <c r="E12" s="71" t="s">
        <v>17</v>
      </c>
      <c r="F12" s="72" t="s">
        <v>432</v>
      </c>
      <c r="G12" s="56" t="s">
        <v>72</v>
      </c>
      <c r="H12" s="89" t="s">
        <v>516</v>
      </c>
      <c r="I12" s="83">
        <v>10000</v>
      </c>
      <c r="J12" s="142"/>
      <c r="K12" s="343">
        <f t="shared" si="0"/>
        <v>0</v>
      </c>
      <c r="L12" s="142" t="s">
        <v>402</v>
      </c>
      <c r="M12" s="179"/>
      <c r="N12" s="138"/>
      <c r="O12" s="142"/>
      <c r="P12" s="186"/>
      <c r="Q12" s="354"/>
      <c r="R12" s="187"/>
      <c r="S12" s="183"/>
    </row>
    <row r="13" spans="1:19" s="184" customFormat="1" ht="30" customHeight="1">
      <c r="A13" s="192" t="s">
        <v>60</v>
      </c>
      <c r="B13" s="190" t="s">
        <v>426</v>
      </c>
      <c r="C13" s="61" t="s">
        <v>59</v>
      </c>
      <c r="D13" s="62" t="s">
        <v>433</v>
      </c>
      <c r="E13" s="61" t="s">
        <v>18</v>
      </c>
      <c r="F13" s="74" t="s">
        <v>434</v>
      </c>
      <c r="G13" s="65" t="s">
        <v>74</v>
      </c>
      <c r="H13" s="332" t="s">
        <v>435</v>
      </c>
      <c r="I13" s="86">
        <v>40000</v>
      </c>
      <c r="J13" s="134"/>
      <c r="K13" s="344">
        <f t="shared" si="0"/>
        <v>0</v>
      </c>
      <c r="L13" s="134" t="s">
        <v>402</v>
      </c>
      <c r="M13" s="179"/>
      <c r="N13" s="193"/>
      <c r="O13" s="149"/>
      <c r="P13" s="194"/>
      <c r="Q13" s="355"/>
      <c r="R13" s="182"/>
      <c r="S13" s="195"/>
    </row>
    <row r="14" spans="1:19" s="184" customFormat="1" ht="30" customHeight="1">
      <c r="A14" s="192" t="s">
        <v>60</v>
      </c>
      <c r="B14" s="190" t="s">
        <v>426</v>
      </c>
      <c r="C14" s="61" t="s">
        <v>59</v>
      </c>
      <c r="D14" s="62" t="s">
        <v>433</v>
      </c>
      <c r="E14" s="71" t="s">
        <v>19</v>
      </c>
      <c r="F14" s="72" t="s">
        <v>436</v>
      </c>
      <c r="G14" s="56" t="s">
        <v>77</v>
      </c>
      <c r="H14" s="89" t="s">
        <v>518</v>
      </c>
      <c r="I14" s="83">
        <v>5000</v>
      </c>
      <c r="J14" s="142"/>
      <c r="K14" s="343">
        <f t="shared" si="0"/>
        <v>0</v>
      </c>
      <c r="L14" s="142" t="s">
        <v>402</v>
      </c>
      <c r="M14" s="179"/>
      <c r="N14" s="138"/>
      <c r="O14" s="142"/>
      <c r="P14" s="186"/>
      <c r="Q14" s="354"/>
      <c r="R14" s="187"/>
      <c r="S14" s="183"/>
    </row>
    <row r="15" spans="1:19" s="184" customFormat="1" ht="46.5" customHeight="1">
      <c r="A15" s="101" t="s">
        <v>26</v>
      </c>
      <c r="B15" s="76" t="s">
        <v>437</v>
      </c>
      <c r="C15" s="69" t="s">
        <v>62</v>
      </c>
      <c r="D15" s="70" t="s">
        <v>438</v>
      </c>
      <c r="E15" s="61" t="s">
        <v>20</v>
      </c>
      <c r="F15" s="74" t="s">
        <v>439</v>
      </c>
      <c r="G15" s="65" t="s">
        <v>80</v>
      </c>
      <c r="H15" s="333" t="s">
        <v>517</v>
      </c>
      <c r="I15" s="86">
        <v>15000</v>
      </c>
      <c r="J15" s="134"/>
      <c r="K15" s="344">
        <f t="shared" si="0"/>
        <v>0</v>
      </c>
      <c r="L15" s="134" t="s">
        <v>402</v>
      </c>
      <c r="M15" s="179"/>
      <c r="N15" s="196"/>
      <c r="O15" s="134"/>
      <c r="P15" s="181"/>
      <c r="Q15" s="353"/>
      <c r="R15" s="182"/>
      <c r="S15" s="183"/>
    </row>
    <row r="16" spans="1:19" s="184" customFormat="1" ht="48">
      <c r="A16" s="101" t="s">
        <v>26</v>
      </c>
      <c r="B16" s="76" t="s">
        <v>437</v>
      </c>
      <c r="C16" s="69" t="s">
        <v>62</v>
      </c>
      <c r="D16" s="70" t="s">
        <v>438</v>
      </c>
      <c r="E16" s="71" t="s">
        <v>21</v>
      </c>
      <c r="F16" s="72" t="s">
        <v>440</v>
      </c>
      <c r="G16" s="56" t="s">
        <v>83</v>
      </c>
      <c r="H16" s="89" t="s">
        <v>441</v>
      </c>
      <c r="I16" s="83">
        <v>10000</v>
      </c>
      <c r="J16" s="142"/>
      <c r="K16" s="343">
        <f t="shared" si="0"/>
        <v>0</v>
      </c>
      <c r="L16" s="142" t="s">
        <v>402</v>
      </c>
      <c r="M16" s="179"/>
      <c r="N16" s="138"/>
      <c r="O16" s="142"/>
      <c r="P16" s="186"/>
      <c r="Q16" s="354"/>
      <c r="R16" s="187"/>
      <c r="S16" s="183"/>
    </row>
    <row r="17" spans="1:19" s="184" customFormat="1" ht="48">
      <c r="A17" s="101" t="s">
        <v>26</v>
      </c>
      <c r="B17" s="76" t="s">
        <v>437</v>
      </c>
      <c r="C17" s="69" t="s">
        <v>62</v>
      </c>
      <c r="D17" s="70" t="s">
        <v>438</v>
      </c>
      <c r="E17" s="71" t="s">
        <v>21</v>
      </c>
      <c r="F17" s="72" t="s">
        <v>440</v>
      </c>
      <c r="G17" s="65" t="s">
        <v>442</v>
      </c>
      <c r="H17" s="333" t="s">
        <v>522</v>
      </c>
      <c r="I17" s="86">
        <v>10000</v>
      </c>
      <c r="J17" s="134"/>
      <c r="K17" s="344">
        <f t="shared" si="0"/>
        <v>0</v>
      </c>
      <c r="L17" s="134" t="s">
        <v>402</v>
      </c>
      <c r="M17" s="179"/>
      <c r="N17" s="196"/>
      <c r="O17" s="134"/>
      <c r="P17" s="181"/>
      <c r="Q17" s="353"/>
      <c r="R17" s="182"/>
      <c r="S17" s="183"/>
    </row>
    <row r="18" spans="1:19" s="184" customFormat="1" ht="48">
      <c r="A18" s="101" t="s">
        <v>26</v>
      </c>
      <c r="B18" s="76" t="s">
        <v>437</v>
      </c>
      <c r="C18" s="69" t="s">
        <v>62</v>
      </c>
      <c r="D18" s="70" t="s">
        <v>438</v>
      </c>
      <c r="E18" s="71" t="s">
        <v>21</v>
      </c>
      <c r="F18" s="72" t="s">
        <v>440</v>
      </c>
      <c r="G18" s="56" t="s">
        <v>442</v>
      </c>
      <c r="H18" s="89" t="s">
        <v>520</v>
      </c>
      <c r="I18" s="83">
        <v>3000</v>
      </c>
      <c r="J18" s="142"/>
      <c r="K18" s="343">
        <f t="shared" ref="K18:K20" si="1">J18/I18</f>
        <v>0</v>
      </c>
      <c r="L18" s="142" t="s">
        <v>402</v>
      </c>
      <c r="M18" s="179"/>
      <c r="N18" s="138"/>
      <c r="O18" s="142"/>
      <c r="P18" s="186"/>
      <c r="Q18" s="354"/>
      <c r="R18" s="187"/>
      <c r="S18" s="183"/>
    </row>
    <row r="19" spans="1:19" s="184" customFormat="1" ht="48">
      <c r="A19" s="101" t="s">
        <v>26</v>
      </c>
      <c r="B19" s="76" t="s">
        <v>437</v>
      </c>
      <c r="C19" s="69" t="s">
        <v>62</v>
      </c>
      <c r="D19" s="70" t="s">
        <v>438</v>
      </c>
      <c r="E19" s="71" t="s">
        <v>21</v>
      </c>
      <c r="F19" s="72" t="s">
        <v>440</v>
      </c>
      <c r="G19" s="65" t="s">
        <v>442</v>
      </c>
      <c r="H19" s="333" t="s">
        <v>519</v>
      </c>
      <c r="I19" s="86">
        <v>1000</v>
      </c>
      <c r="J19" s="134"/>
      <c r="K19" s="344">
        <f t="shared" si="1"/>
        <v>0</v>
      </c>
      <c r="L19" s="134" t="s">
        <v>402</v>
      </c>
      <c r="M19" s="179"/>
      <c r="N19" s="196"/>
      <c r="O19" s="134"/>
      <c r="P19" s="181"/>
      <c r="Q19" s="353"/>
      <c r="R19" s="182"/>
      <c r="S19" s="183"/>
    </row>
    <row r="20" spans="1:19" s="184" customFormat="1" ht="48">
      <c r="A20" s="101" t="s">
        <v>26</v>
      </c>
      <c r="B20" s="76" t="s">
        <v>437</v>
      </c>
      <c r="C20" s="69" t="s">
        <v>62</v>
      </c>
      <c r="D20" s="70" t="s">
        <v>438</v>
      </c>
      <c r="E20" s="71" t="s">
        <v>21</v>
      </c>
      <c r="F20" s="72" t="s">
        <v>440</v>
      </c>
      <c r="G20" s="56" t="s">
        <v>442</v>
      </c>
      <c r="H20" s="89" t="s">
        <v>521</v>
      </c>
      <c r="I20" s="83">
        <v>25000</v>
      </c>
      <c r="J20" s="142"/>
      <c r="K20" s="343">
        <f t="shared" si="1"/>
        <v>0</v>
      </c>
      <c r="L20" s="142" t="s">
        <v>402</v>
      </c>
      <c r="M20" s="179"/>
      <c r="N20" s="138"/>
      <c r="O20" s="142"/>
      <c r="P20" s="186"/>
      <c r="Q20" s="354"/>
      <c r="R20" s="187"/>
      <c r="S20" s="183"/>
    </row>
    <row r="21" spans="1:19" s="184" customFormat="1" ht="30" customHeight="1">
      <c r="A21" s="101" t="s">
        <v>26</v>
      </c>
      <c r="B21" s="76" t="s">
        <v>437</v>
      </c>
      <c r="C21" s="61" t="s">
        <v>63</v>
      </c>
      <c r="D21" s="62" t="s">
        <v>443</v>
      </c>
      <c r="E21" s="61" t="s">
        <v>22</v>
      </c>
      <c r="F21" s="74" t="s">
        <v>444</v>
      </c>
      <c r="G21" s="65" t="s">
        <v>85</v>
      </c>
      <c r="H21" s="333" t="s">
        <v>523</v>
      </c>
      <c r="I21" s="86">
        <v>3000</v>
      </c>
      <c r="J21" s="134"/>
      <c r="K21" s="344">
        <f t="shared" si="0"/>
        <v>0</v>
      </c>
      <c r="L21" s="134" t="s">
        <v>402</v>
      </c>
      <c r="M21" s="179"/>
      <c r="N21" s="196"/>
      <c r="O21" s="134"/>
      <c r="P21" s="181"/>
      <c r="Q21" s="353"/>
      <c r="R21" s="182"/>
      <c r="S21" s="183"/>
    </row>
    <row r="22" spans="1:19" s="184" customFormat="1" ht="48">
      <c r="A22" s="101" t="s">
        <v>26</v>
      </c>
      <c r="B22" s="76" t="s">
        <v>437</v>
      </c>
      <c r="C22" s="61" t="s">
        <v>63</v>
      </c>
      <c r="D22" s="62" t="s">
        <v>443</v>
      </c>
      <c r="E22" s="71" t="s">
        <v>23</v>
      </c>
      <c r="F22" s="72" t="s">
        <v>445</v>
      </c>
      <c r="G22" s="56" t="s">
        <v>446</v>
      </c>
      <c r="H22" s="89" t="s">
        <v>524</v>
      </c>
      <c r="I22" s="83">
        <v>30000</v>
      </c>
      <c r="J22" s="142"/>
      <c r="K22" s="343">
        <f t="shared" si="0"/>
        <v>0</v>
      </c>
      <c r="L22" s="142" t="s">
        <v>402</v>
      </c>
      <c r="M22" s="179"/>
      <c r="N22" s="138" t="s">
        <v>501</v>
      </c>
      <c r="O22" s="142">
        <v>31500</v>
      </c>
      <c r="P22" s="186">
        <v>0</v>
      </c>
      <c r="Q22" s="354">
        <f>P22/O22</f>
        <v>0</v>
      </c>
      <c r="R22" s="187" t="s">
        <v>402</v>
      </c>
      <c r="S22" s="183">
        <f>O22-P22</f>
        <v>31500</v>
      </c>
    </row>
    <row r="23" spans="1:19" s="184" customFormat="1" ht="17">
      <c r="A23" s="377"/>
      <c r="B23" s="62"/>
      <c r="C23" s="61"/>
      <c r="D23" s="62"/>
      <c r="E23" s="61"/>
      <c r="F23" s="74"/>
      <c r="G23" s="56"/>
      <c r="H23" s="62"/>
      <c r="I23" s="58"/>
      <c r="J23" s="134"/>
      <c r="K23" s="344" t="e">
        <f>J23/I23</f>
        <v>#DIV/0!</v>
      </c>
      <c r="L23" s="142"/>
      <c r="M23" s="179"/>
      <c r="N23" s="143"/>
      <c r="O23" s="134"/>
      <c r="P23" s="181"/>
      <c r="Q23" s="353"/>
      <c r="R23" s="317"/>
      <c r="S23" s="183"/>
    </row>
    <row r="24" spans="1:19" s="184" customFormat="1" ht="17">
      <c r="A24" s="377"/>
      <c r="B24" s="62"/>
      <c r="C24" s="61"/>
      <c r="D24" s="62"/>
      <c r="E24" s="61"/>
      <c r="F24" s="74"/>
      <c r="G24" s="56"/>
      <c r="H24" s="62"/>
      <c r="I24" s="58"/>
      <c r="J24" s="134"/>
      <c r="K24" s="344" t="e">
        <f>J24/I24</f>
        <v>#DIV/0!</v>
      </c>
      <c r="L24" s="142"/>
      <c r="M24" s="179"/>
      <c r="N24" s="143"/>
      <c r="O24" s="134"/>
      <c r="P24" s="181"/>
      <c r="Q24" s="353"/>
      <c r="R24" s="317"/>
      <c r="S24" s="183"/>
    </row>
    <row r="25" spans="1:19" s="184" customFormat="1" ht="17">
      <c r="A25" s="377"/>
      <c r="B25" s="62"/>
      <c r="C25" s="61"/>
      <c r="D25" s="62"/>
      <c r="E25" s="61"/>
      <c r="F25" s="74"/>
      <c r="G25" s="56"/>
      <c r="H25" s="62"/>
      <c r="I25" s="58"/>
      <c r="J25" s="134"/>
      <c r="K25" s="344" t="e">
        <f>J25/I25</f>
        <v>#DIV/0!</v>
      </c>
      <c r="L25" s="142"/>
      <c r="M25" s="179"/>
      <c r="N25" s="143"/>
      <c r="O25" s="134"/>
      <c r="P25" s="181"/>
      <c r="Q25" s="353"/>
      <c r="R25" s="317"/>
      <c r="S25" s="183"/>
    </row>
    <row r="26" spans="1:19" s="184" customFormat="1" ht="30" customHeight="1">
      <c r="A26" s="107"/>
      <c r="B26" s="62"/>
      <c r="C26" s="61"/>
      <c r="D26" s="62"/>
      <c r="E26" s="61"/>
      <c r="F26" s="74"/>
      <c r="G26" s="56"/>
      <c r="H26" s="62"/>
      <c r="I26" s="83"/>
      <c r="J26" s="142"/>
      <c r="K26" s="343"/>
      <c r="L26" s="142"/>
      <c r="M26" s="179"/>
      <c r="N26" s="138"/>
      <c r="O26" s="142"/>
      <c r="P26" s="186"/>
      <c r="Q26" s="354"/>
      <c r="R26" s="187"/>
      <c r="S26" s="183"/>
    </row>
    <row r="27" spans="1:19" s="184" customFormat="1" ht="30" customHeight="1">
      <c r="A27" s="107"/>
      <c r="B27" s="62"/>
      <c r="C27" s="61"/>
      <c r="D27" s="62"/>
      <c r="E27" s="61"/>
      <c r="F27" s="74"/>
      <c r="G27" s="56"/>
      <c r="H27" s="197" t="s">
        <v>447</v>
      </c>
      <c r="I27" s="198">
        <f>SUM(I3:I26)</f>
        <v>470000</v>
      </c>
      <c r="J27" s="198">
        <f t="shared" ref="J27" si="2">SUM(J3:J26)</f>
        <v>0</v>
      </c>
      <c r="K27" s="374">
        <f t="shared" si="0"/>
        <v>0</v>
      </c>
      <c r="L27" s="142"/>
      <c r="M27" s="179"/>
      <c r="N27" s="138"/>
      <c r="O27" s="318">
        <f>SUM(O3:O26)</f>
        <v>51500</v>
      </c>
      <c r="P27" s="318">
        <f>SUM(P3:P26)</f>
        <v>16021</v>
      </c>
      <c r="Q27" s="354">
        <f>P27/O27</f>
        <v>0.31108737864077668</v>
      </c>
      <c r="R27" s="187"/>
      <c r="S27" s="183">
        <f>O27-P27</f>
        <v>35479</v>
      </c>
    </row>
    <row r="28" spans="1:19" s="184" customFormat="1" ht="25" customHeight="1">
      <c r="K28" s="356"/>
      <c r="P28" s="199"/>
      <c r="Q28" s="356"/>
      <c r="S28" s="199"/>
    </row>
  </sheetData>
  <mergeCells count="2">
    <mergeCell ref="G1:L1"/>
    <mergeCell ref="N1:R1"/>
  </mergeCells>
  <phoneticPr fontId="2" type="noConversion"/>
  <pageMargins left="0.25" right="0.25" top="0.75" bottom="0.75" header="0.3" footer="0.3"/>
  <pageSetup paperSize="8" scale="46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EE72-9782-476E-9C69-06E61BF5B548}">
  <sheetPr>
    <pageSetUpPr fitToPage="1"/>
  </sheetPr>
  <dimension ref="A1:S18"/>
  <sheetViews>
    <sheetView topLeftCell="D1" zoomScale="115" zoomScaleNormal="115" workbookViewId="0">
      <selection activeCell="H17" sqref="H17"/>
    </sheetView>
  </sheetViews>
  <sheetFormatPr baseColWidth="10" defaultColWidth="9" defaultRowHeight="15"/>
  <cols>
    <col min="1" max="1" width="8.83203125" style="1" customWidth="1"/>
    <col min="2" max="2" width="45.83203125" style="1" customWidth="1"/>
    <col min="3" max="3" width="8.83203125" style="1" customWidth="1"/>
    <col min="4" max="4" width="45.83203125" style="1" customWidth="1"/>
    <col min="5" max="5" width="8.83203125" style="1" customWidth="1"/>
    <col min="6" max="6" width="45.83203125" style="1" customWidth="1"/>
    <col min="7" max="7" width="8.83203125" style="1" customWidth="1"/>
    <col min="8" max="8" width="40.83203125" style="1" customWidth="1"/>
    <col min="9" max="10" width="21.6640625" style="1" customWidth="1"/>
    <col min="11" max="11" width="21.6640625" style="351" customWidth="1"/>
    <col min="12" max="12" width="10.83203125" style="1" customWidth="1"/>
    <col min="13" max="13" width="2.6640625" style="1" customWidth="1"/>
    <col min="14" max="14" width="43.83203125" style="1" customWidth="1"/>
    <col min="15" max="15" width="20.5" style="1" bestFit="1" customWidth="1"/>
    <col min="16" max="16" width="17.1640625" style="1" customWidth="1"/>
    <col min="17" max="17" width="17.1640625" style="351" customWidth="1"/>
    <col min="18" max="18" width="10.83203125" style="1" customWidth="1"/>
    <col min="19" max="19" width="9" style="200"/>
    <col min="20" max="16384" width="9" style="1"/>
  </cols>
  <sheetData>
    <row r="1" spans="1:19" s="34" customFormat="1" ht="55" customHeight="1">
      <c r="A1" s="248" t="s">
        <v>472</v>
      </c>
      <c r="B1" s="247" t="s">
        <v>476</v>
      </c>
      <c r="C1" s="244" t="s">
        <v>472</v>
      </c>
      <c r="D1" s="245" t="s">
        <v>479</v>
      </c>
      <c r="E1" s="246" t="s">
        <v>474</v>
      </c>
      <c r="F1" s="247" t="s">
        <v>480</v>
      </c>
      <c r="G1" s="378" t="s">
        <v>491</v>
      </c>
      <c r="H1" s="379"/>
      <c r="I1" s="379"/>
      <c r="J1" s="379"/>
      <c r="K1" s="379"/>
      <c r="L1" s="380"/>
      <c r="N1" s="381" t="s">
        <v>496</v>
      </c>
      <c r="O1" s="382"/>
      <c r="P1" s="382"/>
      <c r="Q1" s="382"/>
      <c r="R1" s="382"/>
      <c r="S1" s="245"/>
    </row>
    <row r="2" spans="1:19" ht="54">
      <c r="A2" s="201" t="s">
        <v>27</v>
      </c>
      <c r="B2" s="202" t="s">
        <v>0</v>
      </c>
      <c r="C2" s="203" t="s">
        <v>28</v>
      </c>
      <c r="D2" s="203" t="s">
        <v>1</v>
      </c>
      <c r="E2" s="204" t="s">
        <v>29</v>
      </c>
      <c r="F2" s="204" t="s">
        <v>13</v>
      </c>
      <c r="G2" s="124" t="s">
        <v>30</v>
      </c>
      <c r="H2" s="306" t="s">
        <v>494</v>
      </c>
      <c r="I2" s="307" t="s">
        <v>495</v>
      </c>
      <c r="J2" s="307" t="s">
        <v>492</v>
      </c>
      <c r="K2" s="358" t="s">
        <v>489</v>
      </c>
      <c r="L2" s="305" t="s">
        <v>488</v>
      </c>
      <c r="M2" s="34"/>
      <c r="N2" s="125" t="s">
        <v>494</v>
      </c>
      <c r="O2" s="125" t="s">
        <v>495</v>
      </c>
      <c r="P2" s="313" t="s">
        <v>493</v>
      </c>
      <c r="Q2" s="341" t="s">
        <v>490</v>
      </c>
      <c r="R2" s="125" t="s">
        <v>35</v>
      </c>
      <c r="S2" s="314" t="s">
        <v>99</v>
      </c>
    </row>
    <row r="3" spans="1:19" s="184" customFormat="1" ht="16">
      <c r="A3" s="205" t="s">
        <v>2</v>
      </c>
      <c r="B3" s="45" t="s">
        <v>448</v>
      </c>
      <c r="C3" s="93" t="s">
        <v>3</v>
      </c>
      <c r="D3" s="94" t="s">
        <v>449</v>
      </c>
      <c r="E3" s="95" t="s">
        <v>139</v>
      </c>
      <c r="F3" s="96" t="s">
        <v>450</v>
      </c>
      <c r="G3" s="97" t="s">
        <v>36</v>
      </c>
      <c r="H3" s="51" t="s">
        <v>451</v>
      </c>
      <c r="I3" s="206">
        <v>50000</v>
      </c>
      <c r="J3" s="181"/>
      <c r="K3" s="353">
        <f>Table_D212[[#This Row],[기준일 현재 
집행액
(천원)]]/Table_D212[[#This Row],[사업비 예산
(천원)]]</f>
        <v>0</v>
      </c>
      <c r="L3" s="207" t="s">
        <v>346</v>
      </c>
      <c r="N3" s="143" t="s">
        <v>503</v>
      </c>
      <c r="O3" s="208">
        <v>8488.6</v>
      </c>
      <c r="P3" s="209">
        <v>6303</v>
      </c>
      <c r="Q3" s="359">
        <f>P3/O3</f>
        <v>0.74252526918455342</v>
      </c>
      <c r="R3" s="134" t="s">
        <v>346</v>
      </c>
      <c r="S3" s="210">
        <f>O3-P3</f>
        <v>2185.6000000000004</v>
      </c>
    </row>
    <row r="4" spans="1:19" s="184" customFormat="1" ht="16">
      <c r="A4" s="205" t="s">
        <v>2</v>
      </c>
      <c r="B4" s="45" t="s">
        <v>448</v>
      </c>
      <c r="C4" s="93" t="s">
        <v>3</v>
      </c>
      <c r="D4" s="94" t="s">
        <v>449</v>
      </c>
      <c r="E4" s="95" t="s">
        <v>139</v>
      </c>
      <c r="F4" s="96" t="s">
        <v>450</v>
      </c>
      <c r="G4" s="109" t="s">
        <v>144</v>
      </c>
      <c r="H4" s="57" t="s">
        <v>452</v>
      </c>
      <c r="I4" s="211">
        <v>45000</v>
      </c>
      <c r="J4" s="186"/>
      <c r="K4" s="354">
        <f>Table_D212[[#This Row],[기준일 현재 
집행액
(천원)]]/Table_D212[[#This Row],[사업비 예산
(천원)]]</f>
        <v>0</v>
      </c>
      <c r="L4" s="212" t="s">
        <v>346</v>
      </c>
      <c r="N4" s="185" t="s">
        <v>502</v>
      </c>
      <c r="O4" s="213">
        <v>25000</v>
      </c>
      <c r="P4" s="214">
        <v>0</v>
      </c>
      <c r="Q4" s="360">
        <f>P4/O4</f>
        <v>0</v>
      </c>
      <c r="R4" s="142" t="s">
        <v>346</v>
      </c>
      <c r="S4" s="210">
        <f>O4-P4</f>
        <v>25000</v>
      </c>
    </row>
    <row r="5" spans="1:19" s="184" customFormat="1" ht="16">
      <c r="A5" s="205" t="s">
        <v>2</v>
      </c>
      <c r="B5" s="45" t="s">
        <v>448</v>
      </c>
      <c r="C5" s="93" t="s">
        <v>3</v>
      </c>
      <c r="D5" s="94" t="s">
        <v>449</v>
      </c>
      <c r="E5" s="215" t="s">
        <v>119</v>
      </c>
      <c r="F5" s="216" t="s">
        <v>453</v>
      </c>
      <c r="G5" s="104" t="s">
        <v>39</v>
      </c>
      <c r="H5" s="66" t="s">
        <v>454</v>
      </c>
      <c r="I5" s="217">
        <v>30000</v>
      </c>
      <c r="J5" s="181"/>
      <c r="K5" s="353">
        <f>Table_D212[[#This Row],[기준일 현재 
집행액
(천원)]]/Table_D212[[#This Row],[사업비 예산
(천원)]]</f>
        <v>0</v>
      </c>
      <c r="L5" s="207" t="s">
        <v>346</v>
      </c>
      <c r="N5" s="138"/>
      <c r="O5" s="213"/>
      <c r="P5" s="214"/>
      <c r="Q5" s="360"/>
      <c r="R5" s="142"/>
      <c r="S5" s="210"/>
    </row>
    <row r="6" spans="1:19" s="184" customFormat="1" ht="16">
      <c r="A6" s="205" t="s">
        <v>2</v>
      </c>
      <c r="B6" s="45" t="s">
        <v>448</v>
      </c>
      <c r="C6" s="107" t="s">
        <v>4</v>
      </c>
      <c r="D6" s="110" t="s">
        <v>455</v>
      </c>
      <c r="E6" s="105" t="s">
        <v>120</v>
      </c>
      <c r="F6" s="106" t="s">
        <v>456</v>
      </c>
      <c r="G6" s="109" t="s">
        <v>202</v>
      </c>
      <c r="H6" s="218"/>
      <c r="I6" s="219"/>
      <c r="J6" s="340"/>
      <c r="K6" s="364"/>
      <c r="L6" s="212"/>
      <c r="N6" s="138"/>
      <c r="O6" s="213"/>
      <c r="P6" s="214"/>
      <c r="Q6" s="360"/>
      <c r="R6" s="142"/>
      <c r="S6" s="210"/>
    </row>
    <row r="7" spans="1:19" s="184" customFormat="1" ht="16">
      <c r="A7" s="205" t="s">
        <v>2</v>
      </c>
      <c r="B7" s="45" t="s">
        <v>448</v>
      </c>
      <c r="C7" s="107" t="s">
        <v>4</v>
      </c>
      <c r="D7" s="110" t="s">
        <v>455</v>
      </c>
      <c r="E7" s="105" t="s">
        <v>120</v>
      </c>
      <c r="F7" s="106" t="s">
        <v>456</v>
      </c>
      <c r="G7" s="104" t="s">
        <v>45</v>
      </c>
      <c r="H7" s="73" t="s">
        <v>457</v>
      </c>
      <c r="I7" s="217">
        <v>30000</v>
      </c>
      <c r="J7" s="181"/>
      <c r="K7" s="353">
        <f>Table_D212[[#This Row],[기준일 현재 
집행액
(천원)]]/Table_D212[[#This Row],[사업비 예산
(천원)]]</f>
        <v>0</v>
      </c>
      <c r="L7" s="207" t="s">
        <v>346</v>
      </c>
      <c r="N7" s="319"/>
      <c r="O7" s="320"/>
      <c r="P7" s="321"/>
      <c r="Q7" s="359"/>
      <c r="R7" s="322"/>
      <c r="S7" s="210"/>
    </row>
    <row r="8" spans="1:19" s="184" customFormat="1" ht="32">
      <c r="A8" s="220" t="s">
        <v>60</v>
      </c>
      <c r="B8" s="190" t="s">
        <v>458</v>
      </c>
      <c r="C8" s="107" t="s">
        <v>108</v>
      </c>
      <c r="D8" s="110" t="s">
        <v>459</v>
      </c>
      <c r="E8" s="107" t="s">
        <v>15</v>
      </c>
      <c r="F8" s="74" t="s">
        <v>460</v>
      </c>
      <c r="G8" s="109" t="s">
        <v>47</v>
      </c>
      <c r="H8" s="62" t="s">
        <v>461</v>
      </c>
      <c r="I8" s="211">
        <v>12000</v>
      </c>
      <c r="J8" s="186"/>
      <c r="K8" s="354">
        <f>Table_D212[[#This Row],[기준일 현재 
집행액
(천원)]]/Table_D212[[#This Row],[사업비 예산
(천원)]]</f>
        <v>0</v>
      </c>
      <c r="L8" s="212" t="s">
        <v>347</v>
      </c>
      <c r="N8" s="138" t="s">
        <v>504</v>
      </c>
      <c r="O8" s="334">
        <v>240200</v>
      </c>
      <c r="P8" s="335"/>
      <c r="Q8" s="361">
        <f>P8/O8</f>
        <v>0</v>
      </c>
      <c r="R8" s="142"/>
      <c r="S8" s="210">
        <f>O8-P8</f>
        <v>240200</v>
      </c>
    </row>
    <row r="9" spans="1:19" s="184" customFormat="1" ht="32">
      <c r="A9" s="220" t="s">
        <v>60</v>
      </c>
      <c r="B9" s="190" t="s">
        <v>458</v>
      </c>
      <c r="C9" s="102" t="s">
        <v>108</v>
      </c>
      <c r="D9" s="103" t="s">
        <v>459</v>
      </c>
      <c r="E9" s="107" t="s">
        <v>15</v>
      </c>
      <c r="F9" s="74" t="s">
        <v>460</v>
      </c>
      <c r="G9" s="104" t="s">
        <v>48</v>
      </c>
      <c r="H9" s="73" t="s">
        <v>1172</v>
      </c>
      <c r="I9" s="1062">
        <v>12000</v>
      </c>
      <c r="J9" s="186"/>
      <c r="K9" s="354">
        <f>Table_D212[[#This Row],[기준일 현재 
집행액
(천원)]]/Table_D212[[#This Row],[사업비 예산
(천원)]]</f>
        <v>0</v>
      </c>
      <c r="L9" s="1063"/>
      <c r="N9" s="138"/>
      <c r="O9" s="334"/>
      <c r="P9" s="335"/>
      <c r="Q9" s="361"/>
      <c r="R9" s="142"/>
      <c r="S9" s="210"/>
    </row>
    <row r="10" spans="1:19" s="184" customFormat="1" ht="32">
      <c r="A10" s="220" t="s">
        <v>60</v>
      </c>
      <c r="B10" s="190" t="s">
        <v>458</v>
      </c>
      <c r="C10" s="102" t="s">
        <v>108</v>
      </c>
      <c r="D10" s="103" t="s">
        <v>459</v>
      </c>
      <c r="E10" s="107" t="s">
        <v>15</v>
      </c>
      <c r="F10" s="74" t="s">
        <v>460</v>
      </c>
      <c r="G10" s="104" t="s">
        <v>1170</v>
      </c>
      <c r="H10" s="73" t="s">
        <v>1171</v>
      </c>
      <c r="I10" s="217">
        <v>6000</v>
      </c>
      <c r="J10" s="181"/>
      <c r="K10" s="353">
        <f>Table_D212[[#This Row],[기준일 현재 
집행액
(천원)]]/Table_D212[[#This Row],[사업비 예산
(천원)]]</f>
        <v>0</v>
      </c>
      <c r="L10" s="207" t="s">
        <v>346</v>
      </c>
      <c r="N10" s="319" t="s">
        <v>505</v>
      </c>
      <c r="O10" s="336">
        <v>1900</v>
      </c>
      <c r="P10" s="337">
        <v>720</v>
      </c>
      <c r="Q10" s="362">
        <f>P10/O10</f>
        <v>0.37894736842105264</v>
      </c>
      <c r="R10" s="322" t="s">
        <v>346</v>
      </c>
      <c r="S10" s="210">
        <f>O10-P10</f>
        <v>1180</v>
      </c>
    </row>
    <row r="11" spans="1:19" s="184" customFormat="1" ht="16">
      <c r="A11" s="221" t="s">
        <v>5</v>
      </c>
      <c r="B11" s="62" t="s">
        <v>458</v>
      </c>
      <c r="C11" s="102" t="s">
        <v>54</v>
      </c>
      <c r="D11" s="103" t="s">
        <v>459</v>
      </c>
      <c r="E11" s="105" t="s">
        <v>16</v>
      </c>
      <c r="F11" s="106" t="s">
        <v>462</v>
      </c>
      <c r="G11" s="109" t="s">
        <v>67</v>
      </c>
      <c r="H11" s="62" t="s">
        <v>463</v>
      </c>
      <c r="I11" s="211">
        <v>16000</v>
      </c>
      <c r="J11" s="186"/>
      <c r="K11" s="354">
        <f>Table_D212[[#This Row],[기준일 현재 
집행액
(천원)]]/Table_D212[[#This Row],[사업비 예산
(천원)]]</f>
        <v>0</v>
      </c>
      <c r="L11" s="212" t="s">
        <v>347</v>
      </c>
      <c r="N11" s="138"/>
      <c r="O11" s="213"/>
      <c r="P11" s="214"/>
      <c r="Q11" s="360"/>
      <c r="R11" s="142"/>
      <c r="S11" s="210"/>
    </row>
    <row r="12" spans="1:19" s="184" customFormat="1" ht="16">
      <c r="A12" s="221" t="s">
        <v>5</v>
      </c>
      <c r="B12" s="190" t="s">
        <v>458</v>
      </c>
      <c r="C12" s="102" t="s">
        <v>54</v>
      </c>
      <c r="D12" s="103" t="s">
        <v>459</v>
      </c>
      <c r="E12" s="105" t="s">
        <v>16</v>
      </c>
      <c r="F12" s="106" t="s">
        <v>462</v>
      </c>
      <c r="G12" s="104" t="s">
        <v>68</v>
      </c>
      <c r="H12" s="73" t="s">
        <v>464</v>
      </c>
      <c r="I12" s="217">
        <v>4000</v>
      </c>
      <c r="J12" s="181"/>
      <c r="K12" s="353">
        <f>Table_D212[[#This Row],[기준일 현재 
집행액
(천원)]]/Table_D212[[#This Row],[사업비 예산
(천원)]]</f>
        <v>0</v>
      </c>
      <c r="L12" s="207" t="s">
        <v>346</v>
      </c>
      <c r="N12" s="138"/>
      <c r="O12" s="213"/>
      <c r="P12" s="214"/>
      <c r="Q12" s="360"/>
      <c r="R12" s="142"/>
      <c r="S12" s="210"/>
    </row>
    <row r="13" spans="1:19" s="184" customFormat="1" ht="16">
      <c r="A13" s="221" t="s">
        <v>5</v>
      </c>
      <c r="B13" s="190" t="s">
        <v>458</v>
      </c>
      <c r="C13" s="107" t="s">
        <v>59</v>
      </c>
      <c r="D13" s="110" t="s">
        <v>465</v>
      </c>
      <c r="E13" s="107" t="s">
        <v>17</v>
      </c>
      <c r="F13" s="108" t="s">
        <v>466</v>
      </c>
      <c r="G13" s="109" t="s">
        <v>69</v>
      </c>
      <c r="H13" s="62" t="s">
        <v>467</v>
      </c>
      <c r="I13" s="211">
        <v>10000</v>
      </c>
      <c r="J13" s="186"/>
      <c r="K13" s="354">
        <f>Table_D212[[#This Row],[기준일 현재 
집행액
(천원)]]/Table_D212[[#This Row],[사업비 예산
(천원)]]</f>
        <v>0</v>
      </c>
      <c r="L13" s="212" t="s">
        <v>346</v>
      </c>
      <c r="N13" s="138" t="s">
        <v>506</v>
      </c>
      <c r="O13" s="213">
        <v>19200</v>
      </c>
      <c r="P13" s="214">
        <v>15962</v>
      </c>
      <c r="Q13" s="360">
        <f>P13/O13</f>
        <v>0.83135416666666662</v>
      </c>
      <c r="R13" s="142" t="s">
        <v>346</v>
      </c>
      <c r="S13" s="210">
        <f>O13-P13</f>
        <v>3238</v>
      </c>
    </row>
    <row r="14" spans="1:19" s="184" customFormat="1" ht="16">
      <c r="A14" s="221" t="s">
        <v>5</v>
      </c>
      <c r="B14" s="190" t="s">
        <v>458</v>
      </c>
      <c r="C14" s="107" t="s">
        <v>59</v>
      </c>
      <c r="D14" s="110" t="s">
        <v>465</v>
      </c>
      <c r="E14" s="107" t="s">
        <v>17</v>
      </c>
      <c r="F14" s="108" t="s">
        <v>466</v>
      </c>
      <c r="G14" s="104" t="s">
        <v>70</v>
      </c>
      <c r="H14" s="73" t="s">
        <v>468</v>
      </c>
      <c r="I14" s="217">
        <v>4000</v>
      </c>
      <c r="J14" s="181"/>
      <c r="K14" s="353">
        <f>Table_D212[[#This Row],[기준일 현재 
집행액
(천원)]]/Table_D212[[#This Row],[사업비 예산
(천원)]]</f>
        <v>0</v>
      </c>
      <c r="L14" s="207" t="s">
        <v>346</v>
      </c>
      <c r="N14" s="138"/>
      <c r="O14" s="213"/>
      <c r="P14" s="214"/>
      <c r="Q14" s="360"/>
      <c r="R14" s="142"/>
      <c r="S14" s="210"/>
    </row>
    <row r="15" spans="1:19" s="184" customFormat="1" ht="32">
      <c r="A15" s="221" t="s">
        <v>5</v>
      </c>
      <c r="B15" s="62" t="s">
        <v>458</v>
      </c>
      <c r="C15" s="107" t="s">
        <v>59</v>
      </c>
      <c r="D15" s="110" t="s">
        <v>465</v>
      </c>
      <c r="E15" s="107" t="s">
        <v>17</v>
      </c>
      <c r="F15" s="74" t="s">
        <v>469</v>
      </c>
      <c r="G15" s="109" t="s">
        <v>71</v>
      </c>
      <c r="H15" s="62" t="s">
        <v>525</v>
      </c>
      <c r="I15" s="211">
        <v>6000</v>
      </c>
      <c r="J15" s="186"/>
      <c r="K15" s="354">
        <f>Table_D212[[#This Row],[기준일 현재 
집행액
(천원)]]/Table_D212[[#This Row],[사업비 예산
(천원)]]</f>
        <v>0</v>
      </c>
      <c r="L15" s="212" t="s">
        <v>346</v>
      </c>
      <c r="N15" s="138"/>
      <c r="O15" s="213"/>
      <c r="P15" s="214"/>
      <c r="Q15" s="360"/>
      <c r="R15" s="142"/>
      <c r="S15" s="210"/>
    </row>
    <row r="16" spans="1:19" s="184" customFormat="1" ht="32">
      <c r="A16" s="221" t="s">
        <v>5</v>
      </c>
      <c r="B16" s="190" t="s">
        <v>458</v>
      </c>
      <c r="C16" s="107" t="s">
        <v>59</v>
      </c>
      <c r="D16" s="222" t="s">
        <v>465</v>
      </c>
      <c r="E16" s="223" t="s">
        <v>18</v>
      </c>
      <c r="F16" s="224" t="s">
        <v>470</v>
      </c>
      <c r="G16" s="104" t="s">
        <v>218</v>
      </c>
      <c r="H16" s="225" t="s">
        <v>1173</v>
      </c>
      <c r="I16" s="1062">
        <v>10000</v>
      </c>
      <c r="J16" s="186"/>
      <c r="K16" s="354">
        <f>Table_D212[[#This Row],[기준일 현재 
집행액
(천원)]]/Table_D212[[#This Row],[사업비 예산
(천원)]]</f>
        <v>0</v>
      </c>
      <c r="L16" s="1063"/>
      <c r="N16" s="138"/>
      <c r="O16" s="213"/>
      <c r="P16" s="214"/>
      <c r="Q16" s="360"/>
      <c r="R16" s="142"/>
      <c r="S16" s="210"/>
    </row>
    <row r="17" spans="1:19" ht="32">
      <c r="A17" s="221" t="s">
        <v>5</v>
      </c>
      <c r="B17" s="190" t="s">
        <v>458</v>
      </c>
      <c r="C17" s="107" t="s">
        <v>59</v>
      </c>
      <c r="D17" s="222" t="s">
        <v>465</v>
      </c>
      <c r="E17" s="223" t="s">
        <v>18</v>
      </c>
      <c r="F17" s="224" t="s">
        <v>470</v>
      </c>
      <c r="G17" s="104" t="s">
        <v>221</v>
      </c>
      <c r="H17" s="225" t="s">
        <v>1174</v>
      </c>
      <c r="I17" s="226">
        <v>5000</v>
      </c>
      <c r="J17" s="181"/>
      <c r="K17" s="353">
        <f>Table_D212[[#This Row],[기준일 현재 
집행액
(천원)]]/Table_D212[[#This Row],[사업비 예산
(천원)]]</f>
        <v>0</v>
      </c>
      <c r="L17" s="207" t="s">
        <v>346</v>
      </c>
      <c r="N17" s="117"/>
      <c r="O17" s="227"/>
      <c r="P17" s="228"/>
      <c r="Q17" s="363"/>
      <c r="R17" s="117"/>
      <c r="S17" s="229"/>
    </row>
    <row r="18" spans="1:19" ht="16">
      <c r="A18" s="230"/>
      <c r="B18" s="231"/>
      <c r="C18" s="232"/>
      <c r="D18" s="222"/>
      <c r="E18" s="232"/>
      <c r="F18" s="233"/>
      <c r="G18" s="234"/>
      <c r="H18" s="235" t="s">
        <v>471</v>
      </c>
      <c r="I18" s="236">
        <f>SUM(I3:I17)</f>
        <v>240000</v>
      </c>
      <c r="J18" s="236">
        <f>SUM(J3:J17)</f>
        <v>0</v>
      </c>
      <c r="K18" s="365">
        <f>Table_D212[[#This Row],[기준일 현재 
집행액
(천원)]]/Table_D212[[#This Row],[사업비 예산
(천원)]]</f>
        <v>0</v>
      </c>
      <c r="L18" s="237"/>
      <c r="N18" s="117"/>
      <c r="O18" s="323">
        <f>SUM(O3:O17)</f>
        <v>294788.59999999998</v>
      </c>
      <c r="P18" s="323">
        <f>SUM(P3:P17)</f>
        <v>22985</v>
      </c>
      <c r="Q18" s="360">
        <f>P18/O18</f>
        <v>7.7971129141357579E-2</v>
      </c>
      <c r="R18" s="117"/>
      <c r="S18" s="323">
        <f>SUM(S3:S17)</f>
        <v>271803.59999999998</v>
      </c>
    </row>
  </sheetData>
  <mergeCells count="2">
    <mergeCell ref="G1:L1"/>
    <mergeCell ref="N1:R1"/>
  </mergeCells>
  <phoneticPr fontId="2" type="noConversion"/>
  <pageMargins left="0.25" right="0.25" top="0.75" bottom="0.75" header="0.3" footer="0.3"/>
  <pageSetup paperSize="8" scale="46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3A6B-3E35-904F-939B-1E85EA9532B3}">
  <sheetPr>
    <pageSetUpPr fitToPage="1"/>
  </sheetPr>
  <dimension ref="A1:P29"/>
  <sheetViews>
    <sheetView zoomScale="85" zoomScaleNormal="85" workbookViewId="0">
      <selection activeCell="B14" sqref="B14"/>
    </sheetView>
  </sheetViews>
  <sheetFormatPr baseColWidth="10" defaultColWidth="9" defaultRowHeight="15"/>
  <cols>
    <col min="1" max="1" width="8.83203125" style="1" customWidth="1"/>
    <col min="2" max="2" width="45.83203125" style="1" customWidth="1"/>
    <col min="3" max="3" width="8.83203125" style="1" customWidth="1"/>
    <col min="4" max="4" width="45.83203125" style="1" customWidth="1"/>
    <col min="5" max="5" width="8.83203125" style="1" customWidth="1"/>
    <col min="6" max="6" width="45.83203125" style="1" customWidth="1"/>
    <col min="7" max="7" width="8.83203125" style="1" customWidth="1"/>
    <col min="8" max="8" width="47.33203125" style="1" customWidth="1"/>
    <col min="9" max="9" width="21.33203125" style="1" customWidth="1"/>
    <col min="10" max="10" width="12.83203125" style="1" customWidth="1"/>
    <col min="11" max="11" width="11.6640625" style="1" bestFit="1" customWidth="1"/>
    <col min="12" max="12" width="10.83203125" style="1" customWidth="1"/>
    <col min="13" max="13" width="2.6640625" style="1" customWidth="1"/>
    <col min="14" max="14" width="42.6640625" style="1" customWidth="1"/>
    <col min="15" max="15" width="20.5" style="1" bestFit="1" customWidth="1"/>
    <col min="16" max="16" width="10.83203125" style="1" customWidth="1"/>
    <col min="17" max="16384" width="9" style="1"/>
  </cols>
  <sheetData>
    <row r="1" spans="1:16" ht="55" customHeight="1">
      <c r="A1" s="248" t="s">
        <v>472</v>
      </c>
      <c r="B1" s="247" t="s">
        <v>483</v>
      </c>
      <c r="C1" s="244" t="s">
        <v>472</v>
      </c>
      <c r="D1" s="247" t="s">
        <v>481</v>
      </c>
      <c r="E1" s="246" t="s">
        <v>474</v>
      </c>
      <c r="F1" s="247" t="s">
        <v>482</v>
      </c>
      <c r="H1" s="41"/>
      <c r="I1" s="383">
        <f>SUM(I3:I20)</f>
        <v>350000</v>
      </c>
      <c r="J1" s="383">
        <f>SUM(J3:J20)</f>
        <v>0</v>
      </c>
      <c r="K1" s="383">
        <f>SUM(K3:K20)</f>
        <v>350000</v>
      </c>
      <c r="O1" s="315">
        <f>SUM(O3:O27)</f>
        <v>300000</v>
      </c>
    </row>
    <row r="2" spans="1:16" ht="48">
      <c r="A2" s="36" t="s">
        <v>27</v>
      </c>
      <c r="B2" s="36" t="s">
        <v>0</v>
      </c>
      <c r="C2" s="37" t="s">
        <v>133</v>
      </c>
      <c r="D2" s="37" t="s">
        <v>1</v>
      </c>
      <c r="E2" s="38" t="s">
        <v>134</v>
      </c>
      <c r="F2" s="38" t="s">
        <v>13</v>
      </c>
      <c r="G2" s="384" t="s">
        <v>135</v>
      </c>
      <c r="H2" s="384" t="s">
        <v>31</v>
      </c>
      <c r="I2" s="384" t="s">
        <v>136</v>
      </c>
      <c r="J2" s="40" t="s">
        <v>528</v>
      </c>
      <c r="K2" s="40" t="s">
        <v>529</v>
      </c>
      <c r="L2" s="40" t="s">
        <v>488</v>
      </c>
      <c r="N2" s="385" t="s">
        <v>32</v>
      </c>
      <c r="O2" s="385" t="s">
        <v>33</v>
      </c>
      <c r="P2" s="386" t="s">
        <v>35</v>
      </c>
    </row>
    <row r="3" spans="1:16" ht="16">
      <c r="A3" s="387" t="s">
        <v>2</v>
      </c>
      <c r="B3" s="127" t="s">
        <v>137</v>
      </c>
      <c r="C3" s="128" t="s">
        <v>3</v>
      </c>
      <c r="D3" s="129" t="s">
        <v>138</v>
      </c>
      <c r="E3" s="130" t="s">
        <v>139</v>
      </c>
      <c r="F3" s="131" t="s">
        <v>140</v>
      </c>
      <c r="G3" s="388" t="s">
        <v>36</v>
      </c>
      <c r="H3" s="133" t="s">
        <v>141</v>
      </c>
      <c r="I3" s="136">
        <v>30000</v>
      </c>
      <c r="J3" s="389"/>
      <c r="K3" s="389">
        <f t="shared" ref="K3:K20" si="0">I3-J3</f>
        <v>30000</v>
      </c>
      <c r="L3" s="208" t="s">
        <v>142</v>
      </c>
      <c r="M3" s="41"/>
      <c r="N3" s="143" t="s">
        <v>143</v>
      </c>
      <c r="O3" s="134">
        <v>8100</v>
      </c>
      <c r="P3" s="134" t="s">
        <v>142</v>
      </c>
    </row>
    <row r="4" spans="1:16" ht="16">
      <c r="A4" s="387" t="s">
        <v>2</v>
      </c>
      <c r="B4" s="127" t="s">
        <v>137</v>
      </c>
      <c r="C4" s="128" t="s">
        <v>3</v>
      </c>
      <c r="D4" s="129" t="s">
        <v>138</v>
      </c>
      <c r="E4" s="130" t="s">
        <v>139</v>
      </c>
      <c r="F4" s="131" t="s">
        <v>140</v>
      </c>
      <c r="G4" s="388" t="s">
        <v>144</v>
      </c>
      <c r="H4" s="133" t="s">
        <v>145</v>
      </c>
      <c r="I4" s="136">
        <v>27500</v>
      </c>
      <c r="J4" s="389"/>
      <c r="K4" s="389">
        <f t="shared" si="0"/>
        <v>27500</v>
      </c>
      <c r="L4" s="208" t="s">
        <v>142</v>
      </c>
      <c r="M4" s="41"/>
      <c r="N4" s="143" t="s">
        <v>146</v>
      </c>
      <c r="O4" s="134">
        <v>400</v>
      </c>
      <c r="P4" s="134" t="s">
        <v>142</v>
      </c>
    </row>
    <row r="5" spans="1:16" ht="16">
      <c r="A5" s="387" t="s">
        <v>2</v>
      </c>
      <c r="B5" s="127" t="s">
        <v>137</v>
      </c>
      <c r="C5" s="128" t="s">
        <v>3</v>
      </c>
      <c r="D5" s="129" t="s">
        <v>138</v>
      </c>
      <c r="E5" s="130" t="s">
        <v>139</v>
      </c>
      <c r="F5" s="131" t="s">
        <v>140</v>
      </c>
      <c r="G5" s="388" t="s">
        <v>147</v>
      </c>
      <c r="H5" s="133" t="s">
        <v>148</v>
      </c>
      <c r="I5" s="136">
        <v>5000</v>
      </c>
      <c r="J5" s="389"/>
      <c r="K5" s="389">
        <f t="shared" si="0"/>
        <v>5000</v>
      </c>
      <c r="L5" s="208" t="s">
        <v>142</v>
      </c>
      <c r="M5" s="41"/>
      <c r="N5" s="390" t="s">
        <v>530</v>
      </c>
      <c r="O5" s="391">
        <v>7000</v>
      </c>
      <c r="P5" s="134" t="s">
        <v>142</v>
      </c>
    </row>
    <row r="6" spans="1:16" ht="32">
      <c r="A6" s="387" t="s">
        <v>2</v>
      </c>
      <c r="B6" s="127" t="s">
        <v>137</v>
      </c>
      <c r="C6" s="128" t="s">
        <v>41</v>
      </c>
      <c r="D6" s="129" t="s">
        <v>138</v>
      </c>
      <c r="E6" s="139" t="s">
        <v>12</v>
      </c>
      <c r="F6" s="140" t="s">
        <v>149</v>
      </c>
      <c r="G6" s="392" t="s">
        <v>39</v>
      </c>
      <c r="H6" s="393" t="s">
        <v>150</v>
      </c>
      <c r="I6" s="324">
        <v>10000</v>
      </c>
      <c r="J6" s="334"/>
      <c r="K6" s="334">
        <f t="shared" si="0"/>
        <v>10000</v>
      </c>
      <c r="L6" s="213" t="s">
        <v>142</v>
      </c>
      <c r="M6" s="41"/>
      <c r="N6" s="138" t="s">
        <v>151</v>
      </c>
      <c r="O6" s="142">
        <v>1650</v>
      </c>
      <c r="P6" s="142" t="s">
        <v>142</v>
      </c>
    </row>
    <row r="7" spans="1:16" ht="32">
      <c r="A7" s="387" t="s">
        <v>2</v>
      </c>
      <c r="B7" s="127" t="s">
        <v>137</v>
      </c>
      <c r="C7" s="137" t="s">
        <v>46</v>
      </c>
      <c r="D7" s="138" t="s">
        <v>152</v>
      </c>
      <c r="E7" s="130" t="s">
        <v>14</v>
      </c>
      <c r="F7" s="131" t="s">
        <v>153</v>
      </c>
      <c r="G7" s="388" t="s">
        <v>44</v>
      </c>
      <c r="H7" s="133" t="s">
        <v>154</v>
      </c>
      <c r="I7" s="136">
        <v>5000</v>
      </c>
      <c r="J7" s="389"/>
      <c r="K7" s="389">
        <f t="shared" si="0"/>
        <v>5000</v>
      </c>
      <c r="L7" s="208" t="s">
        <v>142</v>
      </c>
      <c r="M7" s="41"/>
      <c r="N7" s="143" t="s">
        <v>155</v>
      </c>
      <c r="O7" s="134">
        <v>4950</v>
      </c>
      <c r="P7" s="134" t="s">
        <v>142</v>
      </c>
    </row>
    <row r="8" spans="1:16" ht="16">
      <c r="A8" s="387" t="s">
        <v>2</v>
      </c>
      <c r="B8" s="127" t="s">
        <v>137</v>
      </c>
      <c r="C8" s="137" t="s">
        <v>46</v>
      </c>
      <c r="D8" s="138" t="s">
        <v>152</v>
      </c>
      <c r="E8" s="130" t="s">
        <v>14</v>
      </c>
      <c r="F8" s="131" t="s">
        <v>153</v>
      </c>
      <c r="G8" s="388" t="s">
        <v>45</v>
      </c>
      <c r="H8" s="133" t="s">
        <v>156</v>
      </c>
      <c r="I8" s="136">
        <v>4000</v>
      </c>
      <c r="J8" s="389"/>
      <c r="K8" s="389">
        <f t="shared" si="0"/>
        <v>4000</v>
      </c>
      <c r="L8" s="208" t="s">
        <v>195</v>
      </c>
      <c r="M8" s="41"/>
      <c r="N8" s="143" t="s">
        <v>157</v>
      </c>
      <c r="O8" s="134">
        <v>2000</v>
      </c>
      <c r="P8" s="134" t="s">
        <v>142</v>
      </c>
    </row>
    <row r="9" spans="1:16" ht="19">
      <c r="A9" s="387" t="s">
        <v>42</v>
      </c>
      <c r="B9" s="127" t="s">
        <v>137</v>
      </c>
      <c r="C9" s="137" t="s">
        <v>46</v>
      </c>
      <c r="D9" s="150" t="s">
        <v>158</v>
      </c>
      <c r="E9" s="139" t="s">
        <v>15</v>
      </c>
      <c r="F9" s="140" t="s">
        <v>159</v>
      </c>
      <c r="G9" s="392" t="s">
        <v>47</v>
      </c>
      <c r="H9" s="394"/>
      <c r="I9" s="395"/>
      <c r="J9" s="396"/>
      <c r="K9" s="396">
        <f t="shared" si="0"/>
        <v>0</v>
      </c>
      <c r="L9" s="213"/>
      <c r="M9" s="41"/>
      <c r="N9" s="397" t="s">
        <v>160</v>
      </c>
      <c r="O9" s="398">
        <v>75000</v>
      </c>
      <c r="P9" s="399" t="s">
        <v>531</v>
      </c>
    </row>
    <row r="10" spans="1:16" ht="32">
      <c r="A10" s="400" t="s">
        <v>60</v>
      </c>
      <c r="B10" s="138" t="s">
        <v>161</v>
      </c>
      <c r="C10" s="128" t="s">
        <v>54</v>
      </c>
      <c r="D10" s="129" t="s">
        <v>162</v>
      </c>
      <c r="E10" s="144" t="s">
        <v>16</v>
      </c>
      <c r="F10" s="145" t="s">
        <v>163</v>
      </c>
      <c r="G10" s="388" t="s">
        <v>67</v>
      </c>
      <c r="H10" s="331" t="s">
        <v>532</v>
      </c>
      <c r="I10" s="136">
        <v>100000</v>
      </c>
      <c r="J10" s="389"/>
      <c r="K10" s="389">
        <f t="shared" si="0"/>
        <v>100000</v>
      </c>
      <c r="L10" s="208" t="s">
        <v>142</v>
      </c>
      <c r="M10" s="41"/>
      <c r="N10" s="143" t="s">
        <v>164</v>
      </c>
      <c r="O10" s="134">
        <v>58000</v>
      </c>
      <c r="P10" s="134" t="s">
        <v>142</v>
      </c>
    </row>
    <row r="11" spans="1:16" ht="32">
      <c r="A11" s="400" t="s">
        <v>60</v>
      </c>
      <c r="B11" s="138" t="s">
        <v>161</v>
      </c>
      <c r="C11" s="128" t="s">
        <v>54</v>
      </c>
      <c r="D11" s="129" t="s">
        <v>162</v>
      </c>
      <c r="E11" s="144" t="s">
        <v>16</v>
      </c>
      <c r="F11" s="145" t="s">
        <v>163</v>
      </c>
      <c r="G11" s="388" t="s">
        <v>68</v>
      </c>
      <c r="H11" s="143" t="s">
        <v>533</v>
      </c>
      <c r="I11" s="136">
        <v>75000</v>
      </c>
      <c r="J11" s="389"/>
      <c r="K11" s="389">
        <f t="shared" si="0"/>
        <v>75000</v>
      </c>
      <c r="L11" s="208" t="s">
        <v>142</v>
      </c>
      <c r="M11" s="41"/>
      <c r="N11" s="143" t="s">
        <v>165</v>
      </c>
      <c r="O11" s="134">
        <v>45900</v>
      </c>
      <c r="P11" s="134" t="s">
        <v>142</v>
      </c>
    </row>
    <row r="12" spans="1:16" ht="32">
      <c r="A12" s="400" t="s">
        <v>60</v>
      </c>
      <c r="B12" s="138" t="s">
        <v>161</v>
      </c>
      <c r="C12" s="128" t="s">
        <v>54</v>
      </c>
      <c r="D12" s="129" t="s">
        <v>162</v>
      </c>
      <c r="E12" s="137" t="s">
        <v>17</v>
      </c>
      <c r="F12" s="147" t="s">
        <v>166</v>
      </c>
      <c r="G12" s="392" t="s">
        <v>69</v>
      </c>
      <c r="H12" s="138" t="s">
        <v>167</v>
      </c>
      <c r="I12" s="324">
        <v>20000</v>
      </c>
      <c r="J12" s="334"/>
      <c r="K12" s="334">
        <f t="shared" si="0"/>
        <v>20000</v>
      </c>
      <c r="L12" s="213" t="s">
        <v>142</v>
      </c>
      <c r="M12" s="41"/>
      <c r="N12" s="138"/>
      <c r="O12" s="142"/>
      <c r="P12" s="142"/>
    </row>
    <row r="13" spans="1:16" ht="32">
      <c r="A13" s="400" t="s">
        <v>60</v>
      </c>
      <c r="B13" s="138" t="s">
        <v>161</v>
      </c>
      <c r="C13" s="128" t="s">
        <v>54</v>
      </c>
      <c r="D13" s="129" t="s">
        <v>162</v>
      </c>
      <c r="E13" s="137" t="s">
        <v>17</v>
      </c>
      <c r="F13" s="147" t="s">
        <v>166</v>
      </c>
      <c r="G13" s="392" t="s">
        <v>70</v>
      </c>
      <c r="H13" s="138" t="s">
        <v>534</v>
      </c>
      <c r="I13" s="324">
        <v>15000</v>
      </c>
      <c r="J13" s="334"/>
      <c r="K13" s="334">
        <f t="shared" si="0"/>
        <v>15000</v>
      </c>
      <c r="L13" s="213" t="s">
        <v>142</v>
      </c>
      <c r="M13" s="41"/>
      <c r="N13" s="138"/>
      <c r="O13" s="142"/>
      <c r="P13" s="142"/>
    </row>
    <row r="14" spans="1:16" ht="32">
      <c r="A14" s="400" t="s">
        <v>60</v>
      </c>
      <c r="B14" s="138" t="s">
        <v>161</v>
      </c>
      <c r="C14" s="137" t="s">
        <v>59</v>
      </c>
      <c r="D14" s="138" t="s">
        <v>168</v>
      </c>
      <c r="E14" s="144" t="s">
        <v>18</v>
      </c>
      <c r="F14" s="145" t="s">
        <v>169</v>
      </c>
      <c r="G14" s="388" t="s">
        <v>72</v>
      </c>
      <c r="H14" s="143" t="s">
        <v>170</v>
      </c>
      <c r="I14" s="136">
        <v>30000</v>
      </c>
      <c r="J14" s="389"/>
      <c r="K14" s="389">
        <f t="shared" si="0"/>
        <v>30000</v>
      </c>
      <c r="L14" s="208" t="s">
        <v>142</v>
      </c>
      <c r="M14" s="41"/>
      <c r="N14" s="143" t="s">
        <v>171</v>
      </c>
      <c r="O14" s="134">
        <v>30000</v>
      </c>
      <c r="P14" s="134" t="s">
        <v>142</v>
      </c>
    </row>
    <row r="15" spans="1:16" ht="32">
      <c r="A15" s="400" t="s">
        <v>60</v>
      </c>
      <c r="B15" s="138" t="s">
        <v>161</v>
      </c>
      <c r="C15" s="137" t="s">
        <v>59</v>
      </c>
      <c r="D15" s="138" t="s">
        <v>168</v>
      </c>
      <c r="E15" s="137" t="s">
        <v>19</v>
      </c>
      <c r="F15" s="147" t="s">
        <v>172</v>
      </c>
      <c r="G15" s="392" t="s">
        <v>74</v>
      </c>
      <c r="H15" s="138" t="s">
        <v>173</v>
      </c>
      <c r="I15" s="324">
        <v>6000</v>
      </c>
      <c r="J15" s="334"/>
      <c r="K15" s="334">
        <f t="shared" si="0"/>
        <v>6000</v>
      </c>
      <c r="L15" s="213" t="s">
        <v>313</v>
      </c>
      <c r="M15" s="41"/>
      <c r="N15" s="138" t="s">
        <v>174</v>
      </c>
      <c r="O15" s="142">
        <v>2700</v>
      </c>
      <c r="P15" s="142" t="s">
        <v>214</v>
      </c>
    </row>
    <row r="16" spans="1:16" ht="16">
      <c r="A16" s="387" t="s">
        <v>26</v>
      </c>
      <c r="B16" s="127" t="s">
        <v>175</v>
      </c>
      <c r="C16" s="128" t="s">
        <v>62</v>
      </c>
      <c r="D16" s="129" t="s">
        <v>176</v>
      </c>
      <c r="E16" s="144" t="s">
        <v>20</v>
      </c>
      <c r="F16" s="145" t="s">
        <v>177</v>
      </c>
      <c r="G16" s="388" t="s">
        <v>77</v>
      </c>
      <c r="H16" s="401" t="s">
        <v>535</v>
      </c>
      <c r="I16" s="402">
        <v>1500</v>
      </c>
      <c r="J16" s="403"/>
      <c r="K16" s="403">
        <f t="shared" si="0"/>
        <v>1500</v>
      </c>
      <c r="L16" s="208" t="s">
        <v>142</v>
      </c>
      <c r="M16" s="41"/>
      <c r="N16" s="143"/>
      <c r="O16" s="134"/>
      <c r="P16" s="134"/>
    </row>
    <row r="17" spans="1:16" ht="32">
      <c r="A17" s="387" t="s">
        <v>26</v>
      </c>
      <c r="B17" s="127" t="s">
        <v>175</v>
      </c>
      <c r="C17" s="128" t="s">
        <v>62</v>
      </c>
      <c r="D17" s="129" t="s">
        <v>176</v>
      </c>
      <c r="E17" s="137" t="s">
        <v>21</v>
      </c>
      <c r="F17" s="147" t="s">
        <v>178</v>
      </c>
      <c r="G17" s="392" t="s">
        <v>80</v>
      </c>
      <c r="H17" s="138" t="s">
        <v>536</v>
      </c>
      <c r="I17" s="404">
        <v>11000</v>
      </c>
      <c r="J17" s="405"/>
      <c r="K17" s="405">
        <f t="shared" si="0"/>
        <v>11000</v>
      </c>
      <c r="L17" s="213" t="s">
        <v>142</v>
      </c>
      <c r="M17" s="41"/>
      <c r="N17" s="138" t="s">
        <v>179</v>
      </c>
      <c r="O17" s="142">
        <v>12100</v>
      </c>
      <c r="P17" s="142" t="s">
        <v>142</v>
      </c>
    </row>
    <row r="18" spans="1:16" ht="16">
      <c r="A18" s="387" t="s">
        <v>26</v>
      </c>
      <c r="B18" s="127" t="s">
        <v>175</v>
      </c>
      <c r="C18" s="128" t="s">
        <v>62</v>
      </c>
      <c r="D18" s="129" t="s">
        <v>176</v>
      </c>
      <c r="E18" s="137" t="s">
        <v>21</v>
      </c>
      <c r="F18" s="147" t="s">
        <v>178</v>
      </c>
      <c r="G18" s="392" t="s">
        <v>81</v>
      </c>
      <c r="H18" s="138" t="s">
        <v>537</v>
      </c>
      <c r="I18" s="404">
        <v>10000</v>
      </c>
      <c r="J18" s="405"/>
      <c r="K18" s="405">
        <f t="shared" si="0"/>
        <v>10000</v>
      </c>
      <c r="L18" s="213" t="s">
        <v>538</v>
      </c>
      <c r="M18" s="41"/>
      <c r="N18" s="138"/>
      <c r="O18" s="142"/>
      <c r="P18" s="142"/>
    </row>
    <row r="19" spans="1:16" ht="16.5" customHeight="1">
      <c r="A19" s="387" t="s">
        <v>26</v>
      </c>
      <c r="B19" s="127" t="s">
        <v>175</v>
      </c>
      <c r="C19" s="137" t="s">
        <v>63</v>
      </c>
      <c r="D19" s="138" t="s">
        <v>180</v>
      </c>
      <c r="E19" s="144" t="s">
        <v>22</v>
      </c>
      <c r="F19" s="406" t="s">
        <v>181</v>
      </c>
      <c r="G19" s="407" t="s">
        <v>182</v>
      </c>
      <c r="H19" s="408" t="s">
        <v>183</v>
      </c>
      <c r="I19" s="134"/>
      <c r="J19" s="208"/>
      <c r="K19" s="208">
        <f t="shared" si="0"/>
        <v>0</v>
      </c>
      <c r="L19" s="208"/>
      <c r="M19" s="41"/>
      <c r="N19" s="143"/>
      <c r="O19" s="134"/>
      <c r="P19" s="134"/>
    </row>
    <row r="20" spans="1:16" ht="16.5" customHeight="1">
      <c r="A20" s="409" t="s">
        <v>26</v>
      </c>
      <c r="B20" s="410" t="s">
        <v>175</v>
      </c>
      <c r="C20" s="165" t="s">
        <v>63</v>
      </c>
      <c r="D20" s="164" t="s">
        <v>180</v>
      </c>
      <c r="E20" s="165" t="s">
        <v>23</v>
      </c>
      <c r="F20" s="411" t="s">
        <v>184</v>
      </c>
      <c r="G20" s="412" t="s">
        <v>182</v>
      </c>
      <c r="H20" s="413" t="s">
        <v>185</v>
      </c>
      <c r="I20" s="414"/>
      <c r="J20" s="415"/>
      <c r="K20" s="415">
        <f t="shared" si="0"/>
        <v>0</v>
      </c>
      <c r="L20" s="415"/>
      <c r="M20" s="41"/>
      <c r="N20" s="416"/>
      <c r="O20" s="417"/>
      <c r="P20" s="417"/>
    </row>
    <row r="21" spans="1:16" ht="16.5" customHeight="1"/>
    <row r="22" spans="1:16">
      <c r="H22" s="418" t="s">
        <v>186</v>
      </c>
      <c r="I22" s="419">
        <f>SUM(I23:I27)</f>
        <v>276600</v>
      </c>
      <c r="J22" s="419">
        <f>SUM(J23:J27)</f>
        <v>5146</v>
      </c>
      <c r="K22" s="419">
        <f>I22-J22</f>
        <v>271454</v>
      </c>
      <c r="L22" s="418"/>
      <c r="N22" s="418" t="s">
        <v>187</v>
      </c>
    </row>
    <row r="23" spans="1:16" s="8" customFormat="1" ht="16">
      <c r="H23" s="420" t="s">
        <v>539</v>
      </c>
      <c r="I23" s="421">
        <v>75000</v>
      </c>
      <c r="J23" s="421"/>
      <c r="K23" s="35">
        <f>I23-J23</f>
        <v>75000</v>
      </c>
      <c r="L23" s="422" t="s">
        <v>531</v>
      </c>
      <c r="N23" s="423" t="s">
        <v>188</v>
      </c>
      <c r="O23" s="421">
        <v>26700</v>
      </c>
      <c r="P23" s="422" t="s">
        <v>531</v>
      </c>
    </row>
    <row r="24" spans="1:16" s="8" customFormat="1" ht="17.25" customHeight="1">
      <c r="H24" s="420" t="s">
        <v>540</v>
      </c>
      <c r="I24" s="421">
        <v>7000</v>
      </c>
      <c r="J24" s="421">
        <v>3653</v>
      </c>
      <c r="K24" s="35">
        <f t="shared" ref="K24:K27" si="1">I24-J24</f>
        <v>3347</v>
      </c>
      <c r="L24" s="8" t="s">
        <v>541</v>
      </c>
      <c r="N24" s="423" t="s">
        <v>189</v>
      </c>
      <c r="O24" s="421">
        <v>7500</v>
      </c>
      <c r="P24" s="422" t="s">
        <v>531</v>
      </c>
    </row>
    <row r="25" spans="1:16" s="8" customFormat="1" ht="16">
      <c r="H25" s="420" t="s">
        <v>542</v>
      </c>
      <c r="I25" s="421">
        <v>800</v>
      </c>
      <c r="J25" s="421">
        <v>446</v>
      </c>
      <c r="K25" s="35">
        <f t="shared" si="1"/>
        <v>354</v>
      </c>
      <c r="L25" s="8" t="s">
        <v>541</v>
      </c>
      <c r="N25" s="423" t="s">
        <v>543</v>
      </c>
      <c r="O25" s="421">
        <v>2500</v>
      </c>
      <c r="P25" s="8" t="s">
        <v>541</v>
      </c>
    </row>
    <row r="26" spans="1:16" s="8" customFormat="1" ht="17.25" customHeight="1">
      <c r="H26" s="420" t="s">
        <v>544</v>
      </c>
      <c r="I26" s="421">
        <v>2300</v>
      </c>
      <c r="J26" s="421">
        <f>247+800</f>
        <v>1047</v>
      </c>
      <c r="K26" s="35">
        <f t="shared" si="1"/>
        <v>1253</v>
      </c>
      <c r="L26" s="8" t="s">
        <v>541</v>
      </c>
      <c r="N26" s="423" t="s">
        <v>545</v>
      </c>
      <c r="O26" s="421">
        <v>6500</v>
      </c>
      <c r="P26" s="8" t="s">
        <v>541</v>
      </c>
    </row>
    <row r="27" spans="1:16" s="8" customFormat="1" ht="16">
      <c r="H27" s="424" t="s">
        <v>546</v>
      </c>
      <c r="I27" s="425">
        <v>191500</v>
      </c>
      <c r="J27" s="421"/>
      <c r="K27" s="35">
        <f t="shared" si="1"/>
        <v>191500</v>
      </c>
      <c r="L27" s="422" t="s">
        <v>531</v>
      </c>
      <c r="N27" s="423" t="s">
        <v>190</v>
      </c>
      <c r="O27" s="421">
        <v>9000</v>
      </c>
      <c r="P27" s="422" t="s">
        <v>531</v>
      </c>
    </row>
    <row r="29" spans="1:16">
      <c r="H29" s="77" t="s">
        <v>547</v>
      </c>
      <c r="I29" s="315">
        <f>I23+I27</f>
        <v>266500</v>
      </c>
    </row>
  </sheetData>
  <pageMargins left="0.7" right="0.7" top="0.75" bottom="0.75" header="0.3" footer="0.3"/>
  <pageSetup paperSize="8" scale="55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2D83-E866-6F46-ABD6-239F308507DE}">
  <sheetPr>
    <pageSetUpPr fitToPage="1"/>
  </sheetPr>
  <dimension ref="A1:R75"/>
  <sheetViews>
    <sheetView topLeftCell="D1" zoomScaleNormal="100" workbookViewId="0">
      <selection activeCell="H10" sqref="H10"/>
    </sheetView>
  </sheetViews>
  <sheetFormatPr baseColWidth="10" defaultColWidth="9" defaultRowHeight="17"/>
  <cols>
    <col min="1" max="1" width="8.83203125" style="113" customWidth="1"/>
    <col min="2" max="2" width="42.33203125" style="113" bestFit="1" customWidth="1"/>
    <col min="3" max="3" width="11.6640625" style="113" bestFit="1" customWidth="1"/>
    <col min="4" max="4" width="49.1640625" style="113" bestFit="1" customWidth="1"/>
    <col min="5" max="5" width="16.33203125" style="113" customWidth="1"/>
    <col min="6" max="6" width="51.1640625" style="113" bestFit="1" customWidth="1"/>
    <col min="7" max="7" width="18.5" style="113" customWidth="1"/>
    <col min="8" max="8" width="46" style="113" customWidth="1"/>
    <col min="9" max="9" width="24.1640625" style="113" customWidth="1"/>
    <col min="10" max="10" width="23.83203125" style="113" customWidth="1"/>
    <col min="11" max="11" width="22" style="113" bestFit="1" customWidth="1"/>
    <col min="12" max="12" width="17.6640625" style="113" bestFit="1" customWidth="1"/>
    <col min="13" max="13" width="3.6640625" style="113" customWidth="1"/>
    <col min="14" max="14" width="50.33203125" style="114" bestFit="1" customWidth="1"/>
    <col min="15" max="15" width="29.6640625" style="114" bestFit="1" customWidth="1"/>
    <col min="16" max="16" width="13.1640625" style="114" bestFit="1" customWidth="1"/>
    <col min="17" max="17" width="47.6640625" style="114" bestFit="1" customWidth="1"/>
    <col min="18" max="18" width="52.6640625" style="113" bestFit="1" customWidth="1"/>
    <col min="19" max="19" width="5" style="113" customWidth="1"/>
    <col min="20" max="16384" width="9" style="113"/>
  </cols>
  <sheetData>
    <row r="1" spans="1:18" s="34" customFormat="1" ht="55" customHeight="1">
      <c r="A1" s="248" t="s">
        <v>548</v>
      </c>
      <c r="B1" s="247" t="s">
        <v>549</v>
      </c>
      <c r="C1" s="244" t="s">
        <v>548</v>
      </c>
      <c r="D1" s="247" t="s">
        <v>550</v>
      </c>
      <c r="E1" s="246" t="s">
        <v>551</v>
      </c>
      <c r="F1" s="247" t="s">
        <v>552</v>
      </c>
      <c r="H1" s="117"/>
      <c r="I1" s="118"/>
      <c r="J1" s="118"/>
      <c r="P1" s="119"/>
    </row>
    <row r="2" spans="1:18" ht="66">
      <c r="A2" s="115" t="s">
        <v>27</v>
      </c>
      <c r="B2" s="115" t="s">
        <v>553</v>
      </c>
      <c r="C2" s="238" t="s">
        <v>28</v>
      </c>
      <c r="D2" s="238" t="s">
        <v>554</v>
      </c>
      <c r="E2" s="239" t="s">
        <v>29</v>
      </c>
      <c r="F2" s="240" t="s">
        <v>555</v>
      </c>
      <c r="G2" s="241" t="s">
        <v>30</v>
      </c>
      <c r="H2" s="241" t="s">
        <v>31</v>
      </c>
      <c r="I2" s="241" t="s">
        <v>556</v>
      </c>
      <c r="J2" s="241" t="s">
        <v>557</v>
      </c>
      <c r="K2" s="241" t="s">
        <v>34</v>
      </c>
      <c r="L2" s="241" t="s">
        <v>558</v>
      </c>
      <c r="M2" s="242"/>
      <c r="N2" s="243" t="s">
        <v>32</v>
      </c>
      <c r="O2" s="243" t="s">
        <v>33</v>
      </c>
      <c r="P2" s="243" t="s">
        <v>35</v>
      </c>
      <c r="Q2" s="243" t="s">
        <v>559</v>
      </c>
      <c r="R2" s="243" t="s">
        <v>558</v>
      </c>
    </row>
    <row r="3" spans="1:18" ht="64">
      <c r="A3" s="249" t="s">
        <v>2</v>
      </c>
      <c r="B3" s="250" t="s">
        <v>560</v>
      </c>
      <c r="C3" s="251" t="s">
        <v>3</v>
      </c>
      <c r="D3" s="252" t="s">
        <v>561</v>
      </c>
      <c r="E3" s="253" t="s">
        <v>139</v>
      </c>
      <c r="F3" s="254" t="s">
        <v>310</v>
      </c>
      <c r="G3" s="255" t="s">
        <v>562</v>
      </c>
      <c r="H3" s="256" t="s">
        <v>563</v>
      </c>
      <c r="I3" s="257">
        <f>100000+108000</f>
        <v>208000</v>
      </c>
      <c r="J3" s="257"/>
      <c r="K3" s="257"/>
      <c r="L3" s="258"/>
      <c r="N3" s="259" t="s">
        <v>564</v>
      </c>
      <c r="O3" s="260">
        <v>91360</v>
      </c>
      <c r="P3" s="260" t="s">
        <v>565</v>
      </c>
      <c r="Q3" s="261" t="s">
        <v>566</v>
      </c>
      <c r="R3" s="262" t="s">
        <v>567</v>
      </c>
    </row>
    <row r="4" spans="1:18" ht="48">
      <c r="A4" s="249" t="s">
        <v>2</v>
      </c>
      <c r="B4" s="250" t="s">
        <v>560</v>
      </c>
      <c r="C4" s="251" t="s">
        <v>3</v>
      </c>
      <c r="D4" s="252" t="s">
        <v>561</v>
      </c>
      <c r="E4" s="263" t="s">
        <v>119</v>
      </c>
      <c r="F4" s="264" t="s">
        <v>312</v>
      </c>
      <c r="G4" s="255" t="s">
        <v>197</v>
      </c>
      <c r="H4" s="256" t="s">
        <v>568</v>
      </c>
      <c r="I4" s="257">
        <f>20000+12000+120000</f>
        <v>152000</v>
      </c>
      <c r="J4" s="257"/>
      <c r="K4" s="257"/>
      <c r="L4" s="258"/>
      <c r="N4" s="259" t="s">
        <v>569</v>
      </c>
      <c r="O4" s="265">
        <v>36622.6</v>
      </c>
      <c r="P4" s="260" t="s">
        <v>570</v>
      </c>
      <c r="Q4" s="261" t="s">
        <v>571</v>
      </c>
      <c r="R4" s="262" t="s">
        <v>572</v>
      </c>
    </row>
    <row r="5" spans="1:18" ht="32">
      <c r="A5" s="249" t="s">
        <v>2</v>
      </c>
      <c r="B5" s="250" t="s">
        <v>560</v>
      </c>
      <c r="C5" s="251" t="s">
        <v>573</v>
      </c>
      <c r="D5" s="252" t="s">
        <v>574</v>
      </c>
      <c r="E5" s="253" t="s">
        <v>120</v>
      </c>
      <c r="F5" s="264" t="s">
        <v>314</v>
      </c>
      <c r="G5" s="255" t="s">
        <v>575</v>
      </c>
      <c r="H5" s="256" t="s">
        <v>1175</v>
      </c>
      <c r="I5" s="257">
        <f>20000+18400</f>
        <v>38400</v>
      </c>
      <c r="J5" s="257"/>
      <c r="K5" s="257"/>
      <c r="L5" s="258"/>
      <c r="N5" s="259" t="s">
        <v>576</v>
      </c>
      <c r="O5" s="266">
        <v>37039.67</v>
      </c>
      <c r="P5" s="260" t="s">
        <v>565</v>
      </c>
      <c r="Q5" s="261" t="s">
        <v>577</v>
      </c>
      <c r="R5" s="267"/>
    </row>
    <row r="6" spans="1:18" ht="18">
      <c r="A6" s="249" t="s">
        <v>2</v>
      </c>
      <c r="B6" s="250" t="s">
        <v>560</v>
      </c>
      <c r="C6" s="251" t="s">
        <v>573</v>
      </c>
      <c r="D6" s="252" t="s">
        <v>574</v>
      </c>
      <c r="E6" s="263" t="s">
        <v>121</v>
      </c>
      <c r="F6" s="264" t="s">
        <v>315</v>
      </c>
      <c r="G6" s="255" t="s">
        <v>272</v>
      </c>
      <c r="H6" s="256" t="s">
        <v>578</v>
      </c>
      <c r="I6" s="257">
        <v>9000</v>
      </c>
      <c r="J6" s="257">
        <v>4070</v>
      </c>
      <c r="K6" s="257"/>
      <c r="L6" s="258">
        <v>0</v>
      </c>
      <c r="N6" s="268"/>
      <c r="O6" s="260"/>
      <c r="P6" s="260"/>
      <c r="Q6" s="261"/>
      <c r="R6" s="267"/>
    </row>
    <row r="7" spans="1:18" ht="32">
      <c r="A7" s="249" t="s">
        <v>579</v>
      </c>
      <c r="B7" s="250" t="s">
        <v>580</v>
      </c>
      <c r="C7" s="251" t="s">
        <v>581</v>
      </c>
      <c r="D7" s="252" t="s">
        <v>582</v>
      </c>
      <c r="E7" s="253" t="s">
        <v>122</v>
      </c>
      <c r="F7" s="264" t="s">
        <v>316</v>
      </c>
      <c r="G7" s="255" t="s">
        <v>212</v>
      </c>
      <c r="H7" s="256" t="s">
        <v>583</v>
      </c>
      <c r="I7" s="257">
        <v>12000</v>
      </c>
      <c r="J7" s="257"/>
      <c r="K7" s="257"/>
      <c r="L7" s="258"/>
      <c r="N7" s="259" t="s">
        <v>584</v>
      </c>
      <c r="O7" s="266">
        <v>70058.995999999999</v>
      </c>
      <c r="P7" s="260" t="s">
        <v>565</v>
      </c>
      <c r="Q7" s="261" t="s">
        <v>585</v>
      </c>
      <c r="R7" s="267"/>
    </row>
    <row r="8" spans="1:18" ht="48">
      <c r="A8" s="249" t="s">
        <v>579</v>
      </c>
      <c r="B8" s="250" t="s">
        <v>580</v>
      </c>
      <c r="C8" s="251" t="s">
        <v>581</v>
      </c>
      <c r="D8" s="252" t="s">
        <v>582</v>
      </c>
      <c r="E8" s="263" t="s">
        <v>123</v>
      </c>
      <c r="F8" s="264" t="s">
        <v>317</v>
      </c>
      <c r="G8" s="255" t="s">
        <v>318</v>
      </c>
      <c r="H8" s="256" t="s">
        <v>586</v>
      </c>
      <c r="I8" s="257">
        <v>20000</v>
      </c>
      <c r="J8" s="257">
        <v>180</v>
      </c>
      <c r="K8" s="257"/>
      <c r="L8" s="258">
        <v>0</v>
      </c>
      <c r="N8" s="259" t="s">
        <v>587</v>
      </c>
      <c r="O8" s="260">
        <v>27698</v>
      </c>
      <c r="P8" s="260" t="s">
        <v>588</v>
      </c>
      <c r="Q8" s="261" t="s">
        <v>589</v>
      </c>
      <c r="R8" s="269"/>
    </row>
    <row r="9" spans="1:18" ht="32">
      <c r="A9" s="249" t="s">
        <v>579</v>
      </c>
      <c r="B9" s="250" t="s">
        <v>580</v>
      </c>
      <c r="C9" s="270" t="s">
        <v>590</v>
      </c>
      <c r="D9" s="271" t="s">
        <v>591</v>
      </c>
      <c r="E9" s="253" t="s">
        <v>124</v>
      </c>
      <c r="F9" s="272" t="s">
        <v>319</v>
      </c>
      <c r="G9" s="255" t="s">
        <v>218</v>
      </c>
      <c r="H9" s="273" t="s">
        <v>592</v>
      </c>
      <c r="I9" s="257">
        <f>3000+22000</f>
        <v>25000</v>
      </c>
      <c r="J9" s="257">
        <v>3324</v>
      </c>
      <c r="K9" s="257"/>
      <c r="L9" s="274">
        <v>0</v>
      </c>
      <c r="N9" s="259" t="s">
        <v>593</v>
      </c>
      <c r="O9" s="260">
        <v>0</v>
      </c>
      <c r="P9" s="260" t="s">
        <v>594</v>
      </c>
      <c r="Q9" s="261" t="s">
        <v>595</v>
      </c>
      <c r="R9" s="275" t="s">
        <v>596</v>
      </c>
    </row>
    <row r="10" spans="1:18" ht="18">
      <c r="A10" s="249" t="s">
        <v>579</v>
      </c>
      <c r="B10" s="250" t="s">
        <v>580</v>
      </c>
      <c r="C10" s="270" t="s">
        <v>590</v>
      </c>
      <c r="D10" s="271" t="s">
        <v>591</v>
      </c>
      <c r="E10" s="263" t="s">
        <v>125</v>
      </c>
      <c r="F10" s="272" t="s">
        <v>320</v>
      </c>
      <c r="G10" s="255" t="s">
        <v>229</v>
      </c>
      <c r="H10" s="273" t="s">
        <v>597</v>
      </c>
      <c r="I10" s="257">
        <v>10000</v>
      </c>
      <c r="J10" s="257"/>
      <c r="K10" s="257"/>
      <c r="L10" s="258"/>
      <c r="N10" s="259" t="s">
        <v>598</v>
      </c>
      <c r="O10" s="260">
        <v>1350</v>
      </c>
      <c r="P10" s="260" t="s">
        <v>599</v>
      </c>
      <c r="Q10" s="261" t="s">
        <v>600</v>
      </c>
      <c r="R10" s="269"/>
    </row>
    <row r="11" spans="1:18" ht="34">
      <c r="A11" s="249" t="s">
        <v>601</v>
      </c>
      <c r="B11" s="250" t="s">
        <v>602</v>
      </c>
      <c r="C11" s="270" t="s">
        <v>603</v>
      </c>
      <c r="D11" s="271" t="s">
        <v>604</v>
      </c>
      <c r="E11" s="253" t="s">
        <v>130</v>
      </c>
      <c r="F11" s="272" t="s">
        <v>321</v>
      </c>
      <c r="G11" s="255" t="s">
        <v>234</v>
      </c>
      <c r="H11" s="273" t="s">
        <v>605</v>
      </c>
      <c r="I11" s="257">
        <f>10000+5000</f>
        <v>15000</v>
      </c>
      <c r="J11" s="257">
        <v>5000</v>
      </c>
      <c r="K11" s="257"/>
      <c r="L11" s="258">
        <v>0</v>
      </c>
      <c r="N11" s="259" t="s">
        <v>606</v>
      </c>
      <c r="O11" s="260">
        <v>29800</v>
      </c>
      <c r="P11" s="260" t="s">
        <v>565</v>
      </c>
      <c r="Q11" s="261" t="s">
        <v>607</v>
      </c>
      <c r="R11" s="269"/>
    </row>
    <row r="12" spans="1:18" ht="18">
      <c r="A12" s="249" t="s">
        <v>601</v>
      </c>
      <c r="B12" s="250" t="s">
        <v>602</v>
      </c>
      <c r="C12" s="270" t="s">
        <v>603</v>
      </c>
      <c r="D12" s="271" t="s">
        <v>604</v>
      </c>
      <c r="E12" s="263" t="s">
        <v>131</v>
      </c>
      <c r="F12" s="276" t="s">
        <v>322</v>
      </c>
      <c r="G12" s="255" t="s">
        <v>236</v>
      </c>
      <c r="H12" s="273" t="s">
        <v>608</v>
      </c>
      <c r="I12" s="257">
        <v>15000</v>
      </c>
      <c r="J12" s="257"/>
      <c r="K12" s="257"/>
      <c r="L12" s="274"/>
      <c r="N12" s="259" t="s">
        <v>609</v>
      </c>
      <c r="O12" s="260">
        <v>250</v>
      </c>
      <c r="P12" s="260" t="s">
        <v>599</v>
      </c>
      <c r="Q12" s="261" t="s">
        <v>610</v>
      </c>
      <c r="R12" s="269"/>
    </row>
    <row r="13" spans="1:18" s="116" customFormat="1" ht="18">
      <c r="A13" s="249" t="s">
        <v>601</v>
      </c>
      <c r="B13" s="250" t="s">
        <v>602</v>
      </c>
      <c r="C13" s="270" t="s">
        <v>611</v>
      </c>
      <c r="D13" s="271" t="s">
        <v>612</v>
      </c>
      <c r="E13" s="253" t="s">
        <v>294</v>
      </c>
      <c r="F13" s="277" t="s">
        <v>323</v>
      </c>
      <c r="G13" s="255" t="s">
        <v>240</v>
      </c>
      <c r="H13" s="273" t="s">
        <v>613</v>
      </c>
      <c r="I13" s="278">
        <v>60000</v>
      </c>
      <c r="J13" s="278"/>
      <c r="K13" s="257"/>
      <c r="L13" s="279"/>
      <c r="N13" s="259" t="s">
        <v>614</v>
      </c>
      <c r="O13" s="280">
        <v>70964</v>
      </c>
      <c r="P13" s="260" t="s">
        <v>599</v>
      </c>
      <c r="Q13" s="261" t="s">
        <v>615</v>
      </c>
      <c r="R13" s="269"/>
    </row>
    <row r="14" spans="1:18" ht="90.75" customHeight="1">
      <c r="A14" s="249" t="s">
        <v>601</v>
      </c>
      <c r="B14" s="250" t="s">
        <v>602</v>
      </c>
      <c r="C14" s="270" t="s">
        <v>611</v>
      </c>
      <c r="D14" s="271" t="s">
        <v>612</v>
      </c>
      <c r="E14" s="263" t="s">
        <v>299</v>
      </c>
      <c r="F14" s="272" t="s">
        <v>324</v>
      </c>
      <c r="G14" s="255" t="s">
        <v>301</v>
      </c>
      <c r="H14" s="273" t="s">
        <v>616</v>
      </c>
      <c r="I14" s="257">
        <f>45000+50000+200000+30000+45000</f>
        <v>370000</v>
      </c>
      <c r="J14" s="257"/>
      <c r="K14" s="257"/>
      <c r="L14" s="258"/>
      <c r="N14" s="259" t="s">
        <v>617</v>
      </c>
      <c r="O14" s="260">
        <v>177100</v>
      </c>
      <c r="P14" s="260" t="s">
        <v>594</v>
      </c>
      <c r="Q14" s="281" t="s">
        <v>618</v>
      </c>
      <c r="R14" s="269"/>
    </row>
    <row r="15" spans="1:18" ht="80">
      <c r="A15" s="249" t="s">
        <v>619</v>
      </c>
      <c r="B15" s="250" t="s">
        <v>620</v>
      </c>
      <c r="C15" s="270" t="s">
        <v>621</v>
      </c>
      <c r="D15" s="271" t="s">
        <v>622</v>
      </c>
      <c r="E15" s="253" t="s">
        <v>335</v>
      </c>
      <c r="F15" s="272" t="s">
        <v>623</v>
      </c>
      <c r="G15" s="255" t="s">
        <v>336</v>
      </c>
      <c r="H15" s="273" t="s">
        <v>624</v>
      </c>
      <c r="I15" s="257">
        <f>160000+14000+40000+2000+152400</f>
        <v>368400</v>
      </c>
      <c r="J15" s="257">
        <f>12700</f>
        <v>12700</v>
      </c>
      <c r="K15" s="257"/>
      <c r="L15" s="258">
        <v>0</v>
      </c>
      <c r="N15" s="259" t="s">
        <v>625</v>
      </c>
      <c r="O15" s="260">
        <v>49525</v>
      </c>
      <c r="P15" s="260" t="s">
        <v>626</v>
      </c>
      <c r="Q15" s="261" t="s">
        <v>627</v>
      </c>
      <c r="R15" s="275" t="s">
        <v>628</v>
      </c>
    </row>
    <row r="16" spans="1:18" ht="64">
      <c r="A16" s="249" t="s">
        <v>619</v>
      </c>
      <c r="B16" s="282" t="s">
        <v>620</v>
      </c>
      <c r="C16" s="270" t="s">
        <v>621</v>
      </c>
      <c r="D16" s="271" t="s">
        <v>622</v>
      </c>
      <c r="E16" s="263" t="s">
        <v>337</v>
      </c>
      <c r="F16" s="272" t="s">
        <v>629</v>
      </c>
      <c r="G16" s="255" t="s">
        <v>630</v>
      </c>
      <c r="H16" s="256" t="s">
        <v>631</v>
      </c>
      <c r="I16" s="257">
        <f>80000+20000+5000+15000</f>
        <v>120000</v>
      </c>
      <c r="J16" s="257">
        <v>328</v>
      </c>
      <c r="K16" s="257"/>
      <c r="L16" s="284"/>
      <c r="N16" s="259" t="s">
        <v>632</v>
      </c>
      <c r="O16" s="260">
        <v>7797</v>
      </c>
      <c r="P16" s="260" t="s">
        <v>599</v>
      </c>
      <c r="Q16" s="261" t="s">
        <v>633</v>
      </c>
      <c r="R16" s="269"/>
    </row>
    <row r="17" spans="1:18" ht="68">
      <c r="A17" s="285" t="s">
        <v>619</v>
      </c>
      <c r="B17" s="286" t="s">
        <v>620</v>
      </c>
      <c r="C17" s="270" t="s">
        <v>634</v>
      </c>
      <c r="D17" s="271" t="s">
        <v>635</v>
      </c>
      <c r="E17" s="426" t="s">
        <v>325</v>
      </c>
      <c r="F17" s="272" t="s">
        <v>636</v>
      </c>
      <c r="G17" s="427" t="s">
        <v>326</v>
      </c>
      <c r="H17" s="273" t="s">
        <v>637</v>
      </c>
      <c r="I17" s="257">
        <f>10000+15000+15000+6000</f>
        <v>46000</v>
      </c>
      <c r="J17" s="257">
        <f>1342+1687</f>
        <v>3029</v>
      </c>
      <c r="K17" s="257"/>
      <c r="L17" s="274">
        <v>0</v>
      </c>
      <c r="N17" s="259" t="s">
        <v>638</v>
      </c>
      <c r="O17" s="260">
        <v>0</v>
      </c>
      <c r="P17" s="260" t="s">
        <v>594</v>
      </c>
      <c r="Q17" s="261" t="s">
        <v>639</v>
      </c>
      <c r="R17" s="275" t="s">
        <v>596</v>
      </c>
    </row>
    <row r="18" spans="1:18" ht="34">
      <c r="A18" s="249" t="s">
        <v>619</v>
      </c>
      <c r="B18" s="250" t="s">
        <v>620</v>
      </c>
      <c r="C18" s="270" t="s">
        <v>634</v>
      </c>
      <c r="D18" s="271" t="s">
        <v>635</v>
      </c>
      <c r="E18" s="428" t="s">
        <v>327</v>
      </c>
      <c r="F18" s="276" t="s">
        <v>328</v>
      </c>
      <c r="G18" s="427" t="s">
        <v>329</v>
      </c>
      <c r="H18" s="283" t="s">
        <v>640</v>
      </c>
      <c r="I18" s="257">
        <f>10000+20000</f>
        <v>30000</v>
      </c>
      <c r="J18" s="257">
        <v>428</v>
      </c>
      <c r="K18" s="257"/>
      <c r="L18" s="258">
        <v>0</v>
      </c>
      <c r="N18" s="259" t="s">
        <v>641</v>
      </c>
      <c r="O18" s="260">
        <v>0</v>
      </c>
      <c r="P18" s="260" t="s">
        <v>594</v>
      </c>
      <c r="Q18" s="261" t="s">
        <v>642</v>
      </c>
      <c r="R18" s="287" t="s">
        <v>596</v>
      </c>
    </row>
    <row r="19" spans="1:18" ht="81.75" customHeight="1">
      <c r="A19" s="285" t="s">
        <v>619</v>
      </c>
      <c r="B19" s="286" t="s">
        <v>620</v>
      </c>
      <c r="C19" s="270" t="s">
        <v>643</v>
      </c>
      <c r="D19" s="271" t="s">
        <v>644</v>
      </c>
      <c r="E19" s="426" t="s">
        <v>330</v>
      </c>
      <c r="F19" s="272" t="s">
        <v>645</v>
      </c>
      <c r="G19" s="427" t="s">
        <v>331</v>
      </c>
      <c r="H19" s="273" t="s">
        <v>646</v>
      </c>
      <c r="I19" s="257">
        <f>5000+21600</f>
        <v>26600</v>
      </c>
      <c r="J19" s="257"/>
      <c r="K19" s="257"/>
      <c r="L19" s="274"/>
      <c r="N19" s="259" t="s">
        <v>647</v>
      </c>
      <c r="O19" s="260">
        <v>108400</v>
      </c>
      <c r="P19" s="260" t="s">
        <v>648</v>
      </c>
      <c r="Q19" s="261" t="s">
        <v>649</v>
      </c>
      <c r="R19" s="275" t="s">
        <v>650</v>
      </c>
    </row>
    <row r="20" spans="1:18" ht="75" customHeight="1">
      <c r="A20" s="249" t="s">
        <v>619</v>
      </c>
      <c r="B20" s="250" t="s">
        <v>620</v>
      </c>
      <c r="C20" s="270" t="s">
        <v>643</v>
      </c>
      <c r="D20" s="271" t="s">
        <v>644</v>
      </c>
      <c r="E20" s="428" t="s">
        <v>332</v>
      </c>
      <c r="F20" s="272" t="s">
        <v>651</v>
      </c>
      <c r="G20" s="427" t="s">
        <v>333</v>
      </c>
      <c r="H20" s="273" t="s">
        <v>652</v>
      </c>
      <c r="I20" s="257">
        <v>18000</v>
      </c>
      <c r="J20" s="257">
        <v>529</v>
      </c>
      <c r="K20" s="257"/>
      <c r="L20" s="274">
        <v>0</v>
      </c>
      <c r="N20" s="259" t="s">
        <v>653</v>
      </c>
      <c r="O20" s="265">
        <v>277.2</v>
      </c>
      <c r="P20" s="260" t="s">
        <v>565</v>
      </c>
      <c r="Q20" s="261" t="s">
        <v>654</v>
      </c>
      <c r="R20" s="267"/>
    </row>
    <row r="21" spans="1:18" ht="16">
      <c r="A21" s="249" t="s">
        <v>619</v>
      </c>
      <c r="B21" s="250" t="s">
        <v>620</v>
      </c>
      <c r="C21" s="270" t="s">
        <v>643</v>
      </c>
      <c r="D21" s="271" t="s">
        <v>644</v>
      </c>
      <c r="E21" s="253" t="s">
        <v>338</v>
      </c>
      <c r="F21" s="288" t="s">
        <v>339</v>
      </c>
      <c r="G21" s="255" t="s">
        <v>340</v>
      </c>
      <c r="H21" s="273" t="s">
        <v>655</v>
      </c>
      <c r="I21" s="289">
        <v>15000</v>
      </c>
      <c r="J21" s="429"/>
      <c r="K21" s="290"/>
      <c r="L21" s="291"/>
      <c r="M21" s="292"/>
      <c r="N21" s="259" t="s">
        <v>656</v>
      </c>
      <c r="O21" s="293">
        <v>22642.91</v>
      </c>
      <c r="P21" s="294" t="s">
        <v>594</v>
      </c>
      <c r="Q21" s="295" t="s">
        <v>657</v>
      </c>
      <c r="R21" s="267"/>
    </row>
    <row r="22" spans="1:18" ht="30" customHeight="1">
      <c r="A22" s="296"/>
      <c r="B22" s="297"/>
      <c r="C22" s="296"/>
      <c r="D22" s="297"/>
      <c r="E22" s="296"/>
      <c r="F22" s="298"/>
      <c r="G22" s="299"/>
      <c r="H22" s="300" t="s">
        <v>658</v>
      </c>
      <c r="I22" s="301">
        <f>SUM(I3:I21)</f>
        <v>1558400</v>
      </c>
      <c r="J22" s="301">
        <f>SUM(J3:J21)</f>
        <v>29588</v>
      </c>
      <c r="K22" s="302"/>
      <c r="L22" s="112"/>
      <c r="N22" s="303" t="s">
        <v>659</v>
      </c>
      <c r="O22" s="304">
        <f>SUM(O3:O21)</f>
        <v>730885.37600000005</v>
      </c>
      <c r="P22" s="294"/>
      <c r="Q22" s="294"/>
      <c r="R22" s="267"/>
    </row>
    <row r="25" spans="1:18">
      <c r="H25" s="430" t="s">
        <v>660</v>
      </c>
    </row>
    <row r="26" spans="1:18">
      <c r="H26" s="430" t="s">
        <v>661</v>
      </c>
      <c r="I26" s="431">
        <v>12200</v>
      </c>
      <c r="J26" s="431">
        <v>12200</v>
      </c>
    </row>
    <row r="27" spans="1:18">
      <c r="H27" s="430" t="s">
        <v>662</v>
      </c>
      <c r="I27" s="431">
        <v>1000</v>
      </c>
      <c r="J27" s="431"/>
    </row>
    <row r="28" spans="1:18">
      <c r="H28" s="430" t="s">
        <v>663</v>
      </c>
      <c r="I28" s="431">
        <v>940</v>
      </c>
      <c r="J28" s="431">
        <v>1724</v>
      </c>
    </row>
    <row r="29" spans="1:18">
      <c r="H29" s="430" t="s">
        <v>664</v>
      </c>
      <c r="I29" s="431">
        <v>50000</v>
      </c>
      <c r="J29" s="431"/>
    </row>
    <row r="30" spans="1:18">
      <c r="H30" s="432"/>
    </row>
    <row r="33" spans="9:10">
      <c r="I33" s="433"/>
      <c r="J33" s="433"/>
    </row>
    <row r="34" spans="9:10">
      <c r="I34" s="434"/>
    </row>
    <row r="75" spans="10:10">
      <c r="J75" s="435"/>
    </row>
  </sheetData>
  <pageMargins left="0" right="0" top="0" bottom="0" header="0.31496062992125984" footer="0.31496062992125984"/>
  <pageSetup paperSize="8" scale="35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54EE-C5DF-3842-85A3-B7666F238C41}">
  <sheetPr>
    <pageSetUpPr fitToPage="1"/>
  </sheetPr>
  <dimension ref="A1:P30"/>
  <sheetViews>
    <sheetView topLeftCell="B1" zoomScale="85" zoomScaleNormal="85" workbookViewId="0">
      <selection activeCell="B14" sqref="B14"/>
    </sheetView>
  </sheetViews>
  <sheetFormatPr baseColWidth="10" defaultColWidth="9" defaultRowHeight="15"/>
  <cols>
    <col min="1" max="1" width="8.6640625" style="1" customWidth="1"/>
    <col min="2" max="2" width="45.83203125" style="1" customWidth="1"/>
    <col min="3" max="3" width="8.6640625" style="1" customWidth="1"/>
    <col min="4" max="4" width="45.83203125" style="1" customWidth="1"/>
    <col min="5" max="5" width="8.6640625" style="1" customWidth="1"/>
    <col min="6" max="6" width="45.83203125" style="1" customWidth="1"/>
    <col min="7" max="7" width="8.6640625" style="1" customWidth="1"/>
    <col min="8" max="8" width="40.83203125" style="1" customWidth="1"/>
    <col min="9" max="9" width="21.1640625" style="1" customWidth="1"/>
    <col min="10" max="10" width="12.83203125" style="1" bestFit="1" customWidth="1"/>
    <col min="11" max="11" width="9.6640625" style="1" bestFit="1" customWidth="1"/>
    <col min="12" max="12" width="10.83203125" style="1" customWidth="1"/>
    <col min="13" max="13" width="2.6640625" style="1" customWidth="1"/>
    <col min="14" max="14" width="40.83203125" style="1" customWidth="1"/>
    <col min="15" max="15" width="20.5" style="1" bestFit="1" customWidth="1"/>
    <col min="16" max="16" width="10.83203125" style="1" customWidth="1"/>
    <col min="17" max="16384" width="9" style="1"/>
  </cols>
  <sheetData>
    <row r="1" spans="1:16" ht="55" customHeight="1">
      <c r="A1" s="248" t="s">
        <v>472</v>
      </c>
      <c r="B1" s="247" t="s">
        <v>484</v>
      </c>
      <c r="C1" s="244" t="s">
        <v>472</v>
      </c>
      <c r="D1" s="247" t="s">
        <v>485</v>
      </c>
      <c r="E1" s="246" t="s">
        <v>474</v>
      </c>
      <c r="F1" s="247" t="s">
        <v>665</v>
      </c>
      <c r="H1" s="41"/>
      <c r="I1" s="383">
        <f>SUM(I3:I22)</f>
        <v>300000</v>
      </c>
      <c r="J1" s="383">
        <f>SUM(J3:J22)</f>
        <v>0</v>
      </c>
      <c r="K1" s="383">
        <f>SUM(K3:K22)</f>
        <v>300000</v>
      </c>
      <c r="O1" s="315">
        <f>SUM(O3:O29)</f>
        <v>411300</v>
      </c>
      <c r="P1" s="315">
        <f>O1-400000</f>
        <v>11300</v>
      </c>
    </row>
    <row r="2" spans="1:16" ht="48">
      <c r="A2" s="36" t="s">
        <v>27</v>
      </c>
      <c r="B2" s="36" t="s">
        <v>0</v>
      </c>
      <c r="C2" s="37" t="s">
        <v>133</v>
      </c>
      <c r="D2" s="37" t="s">
        <v>1</v>
      </c>
      <c r="E2" s="38" t="s">
        <v>134</v>
      </c>
      <c r="F2" s="38" t="s">
        <v>13</v>
      </c>
      <c r="G2" s="39" t="s">
        <v>135</v>
      </c>
      <c r="H2" s="39" t="s">
        <v>31</v>
      </c>
      <c r="I2" s="39" t="s">
        <v>136</v>
      </c>
      <c r="J2" s="40" t="s">
        <v>132</v>
      </c>
      <c r="K2" s="40" t="s">
        <v>666</v>
      </c>
      <c r="L2" s="40" t="s">
        <v>488</v>
      </c>
      <c r="M2" s="41"/>
      <c r="N2" s="42" t="s">
        <v>32</v>
      </c>
      <c r="O2" s="42" t="s">
        <v>33</v>
      </c>
      <c r="P2" s="43" t="s">
        <v>35</v>
      </c>
    </row>
    <row r="3" spans="1:16" ht="64">
      <c r="A3" s="44" t="s">
        <v>2</v>
      </c>
      <c r="B3" s="45" t="s">
        <v>191</v>
      </c>
      <c r="C3" s="46" t="s">
        <v>3</v>
      </c>
      <c r="D3" s="47" t="s">
        <v>192</v>
      </c>
      <c r="E3" s="48" t="s">
        <v>11</v>
      </c>
      <c r="F3" s="49" t="s">
        <v>193</v>
      </c>
      <c r="G3" s="50" t="s">
        <v>36</v>
      </c>
      <c r="H3" s="51" t="s">
        <v>194</v>
      </c>
      <c r="I3" s="436">
        <v>10000</v>
      </c>
      <c r="J3" s="134"/>
      <c r="K3" s="389">
        <f t="shared" ref="K3:K22" si="0">I3-J3</f>
        <v>10000</v>
      </c>
      <c r="L3" s="134" t="s">
        <v>195</v>
      </c>
      <c r="M3" s="41"/>
      <c r="N3" s="52" t="s">
        <v>667</v>
      </c>
      <c r="O3" s="437">
        <v>12600</v>
      </c>
      <c r="P3" s="53" t="s">
        <v>195</v>
      </c>
    </row>
    <row r="4" spans="1:16" ht="32">
      <c r="A4" s="44" t="s">
        <v>2</v>
      </c>
      <c r="B4" s="45" t="s">
        <v>191</v>
      </c>
      <c r="C4" s="46" t="s">
        <v>3</v>
      </c>
      <c r="D4" s="47" t="s">
        <v>192</v>
      </c>
      <c r="E4" s="61" t="s">
        <v>12</v>
      </c>
      <c r="F4" s="74" t="s">
        <v>196</v>
      </c>
      <c r="G4" s="56" t="s">
        <v>197</v>
      </c>
      <c r="H4" s="57" t="s">
        <v>198</v>
      </c>
      <c r="I4" s="438">
        <v>9000</v>
      </c>
      <c r="J4" s="142"/>
      <c r="K4" s="142">
        <f t="shared" si="0"/>
        <v>9000</v>
      </c>
      <c r="L4" s="82" t="s">
        <v>195</v>
      </c>
      <c r="M4" s="41"/>
      <c r="N4" s="84" t="s">
        <v>668</v>
      </c>
      <c r="O4" s="439">
        <v>750</v>
      </c>
      <c r="P4" s="60" t="s">
        <v>142</v>
      </c>
    </row>
    <row r="5" spans="1:16" ht="45">
      <c r="A5" s="44" t="s">
        <v>2</v>
      </c>
      <c r="B5" s="45" t="s">
        <v>191</v>
      </c>
      <c r="C5" s="46" t="s">
        <v>3</v>
      </c>
      <c r="D5" s="47" t="s">
        <v>192</v>
      </c>
      <c r="E5" s="61" t="s">
        <v>12</v>
      </c>
      <c r="F5" s="74" t="s">
        <v>196</v>
      </c>
      <c r="G5" s="56" t="s">
        <v>40</v>
      </c>
      <c r="H5" s="57" t="s">
        <v>199</v>
      </c>
      <c r="I5" s="438">
        <v>6000</v>
      </c>
      <c r="J5" s="142"/>
      <c r="K5" s="142">
        <f t="shared" si="0"/>
        <v>6000</v>
      </c>
      <c r="L5" s="82" t="s">
        <v>195</v>
      </c>
      <c r="M5" s="41"/>
      <c r="N5" s="85" t="s">
        <v>669</v>
      </c>
      <c r="O5" s="439">
        <v>15700</v>
      </c>
      <c r="P5" s="60" t="s">
        <v>195</v>
      </c>
    </row>
    <row r="6" spans="1:16" ht="32">
      <c r="A6" s="44" t="s">
        <v>2</v>
      </c>
      <c r="B6" s="45" t="s">
        <v>191</v>
      </c>
      <c r="C6" s="61" t="s">
        <v>4</v>
      </c>
      <c r="D6" s="62" t="s">
        <v>200</v>
      </c>
      <c r="E6" s="71" t="s">
        <v>14</v>
      </c>
      <c r="F6" s="72" t="s">
        <v>201</v>
      </c>
      <c r="G6" s="65" t="s">
        <v>202</v>
      </c>
      <c r="H6" s="73" t="s">
        <v>203</v>
      </c>
      <c r="I6" s="440">
        <v>12000</v>
      </c>
      <c r="J6" s="134"/>
      <c r="K6" s="134">
        <f t="shared" si="0"/>
        <v>12000</v>
      </c>
      <c r="L6" s="134" t="s">
        <v>195</v>
      </c>
      <c r="M6" s="41"/>
      <c r="N6" s="52" t="s">
        <v>204</v>
      </c>
      <c r="O6" s="437">
        <v>13800</v>
      </c>
      <c r="P6" s="53" t="s">
        <v>205</v>
      </c>
    </row>
    <row r="7" spans="1:16" ht="30" customHeight="1">
      <c r="A7" s="44" t="s">
        <v>2</v>
      </c>
      <c r="B7" s="45" t="s">
        <v>191</v>
      </c>
      <c r="C7" s="61" t="s">
        <v>4</v>
      </c>
      <c r="D7" s="62" t="s">
        <v>200</v>
      </c>
      <c r="E7" s="61" t="s">
        <v>15</v>
      </c>
      <c r="F7" s="74" t="s">
        <v>206</v>
      </c>
      <c r="G7" s="56" t="s">
        <v>47</v>
      </c>
      <c r="H7" s="62" t="s">
        <v>207</v>
      </c>
      <c r="I7" s="438">
        <v>12000</v>
      </c>
      <c r="J7" s="142"/>
      <c r="K7" s="142">
        <f t="shared" si="0"/>
        <v>12000</v>
      </c>
      <c r="L7" s="82" t="s">
        <v>195</v>
      </c>
      <c r="M7" s="41"/>
      <c r="N7" s="59" t="s">
        <v>208</v>
      </c>
      <c r="O7" s="439">
        <v>41000</v>
      </c>
      <c r="P7" s="60" t="s">
        <v>195</v>
      </c>
    </row>
    <row r="8" spans="1:16" ht="32">
      <c r="A8" s="61" t="s">
        <v>5</v>
      </c>
      <c r="B8" s="62" t="s">
        <v>209</v>
      </c>
      <c r="C8" s="69" t="s">
        <v>108</v>
      </c>
      <c r="D8" s="70" t="s">
        <v>210</v>
      </c>
      <c r="E8" s="71" t="s">
        <v>16</v>
      </c>
      <c r="F8" s="72" t="s">
        <v>211</v>
      </c>
      <c r="G8" s="65" t="s">
        <v>212</v>
      </c>
      <c r="H8" s="73" t="s">
        <v>670</v>
      </c>
      <c r="I8" s="440">
        <v>6000</v>
      </c>
      <c r="J8" s="134"/>
      <c r="K8" s="134">
        <f t="shared" si="0"/>
        <v>6000</v>
      </c>
      <c r="L8" s="134" t="s">
        <v>195</v>
      </c>
      <c r="M8" s="41"/>
      <c r="N8" s="52"/>
      <c r="O8" s="437"/>
      <c r="P8" s="53"/>
    </row>
    <row r="9" spans="1:16" ht="32">
      <c r="A9" s="61" t="s">
        <v>5</v>
      </c>
      <c r="B9" s="62" t="s">
        <v>209</v>
      </c>
      <c r="C9" s="69" t="s">
        <v>108</v>
      </c>
      <c r="D9" s="70" t="s">
        <v>210</v>
      </c>
      <c r="E9" s="71" t="s">
        <v>16</v>
      </c>
      <c r="F9" s="72" t="s">
        <v>211</v>
      </c>
      <c r="G9" s="65" t="s">
        <v>68</v>
      </c>
      <c r="H9" s="73" t="s">
        <v>213</v>
      </c>
      <c r="I9" s="440">
        <v>70000</v>
      </c>
      <c r="J9" s="134"/>
      <c r="K9" s="134">
        <f t="shared" si="0"/>
        <v>70000</v>
      </c>
      <c r="L9" s="134" t="s">
        <v>214</v>
      </c>
      <c r="M9" s="41"/>
      <c r="N9" s="52"/>
      <c r="O9" s="437"/>
      <c r="P9" s="53"/>
    </row>
    <row r="10" spans="1:16" ht="30" customHeight="1">
      <c r="A10" s="61" t="s">
        <v>5</v>
      </c>
      <c r="B10" s="62" t="s">
        <v>209</v>
      </c>
      <c r="C10" s="69" t="s">
        <v>108</v>
      </c>
      <c r="D10" s="70" t="s">
        <v>210</v>
      </c>
      <c r="E10" s="87" t="s">
        <v>17</v>
      </c>
      <c r="F10" s="88" t="s">
        <v>215</v>
      </c>
      <c r="G10" s="56" t="s">
        <v>69</v>
      </c>
      <c r="H10" s="62" t="s">
        <v>216</v>
      </c>
      <c r="I10" s="438">
        <v>40000</v>
      </c>
      <c r="J10" s="142"/>
      <c r="K10" s="142">
        <f t="shared" si="0"/>
        <v>40000</v>
      </c>
      <c r="L10" s="82" t="s">
        <v>142</v>
      </c>
      <c r="M10" s="41"/>
      <c r="N10" s="59" t="s">
        <v>217</v>
      </c>
      <c r="O10" s="439">
        <v>19900</v>
      </c>
      <c r="P10" s="60" t="s">
        <v>142</v>
      </c>
    </row>
    <row r="11" spans="1:16" ht="30" customHeight="1">
      <c r="A11" s="61" t="s">
        <v>5</v>
      </c>
      <c r="B11" s="62" t="s">
        <v>209</v>
      </c>
      <c r="C11" s="69" t="s">
        <v>108</v>
      </c>
      <c r="D11" s="70" t="s">
        <v>210</v>
      </c>
      <c r="E11" s="87" t="s">
        <v>17</v>
      </c>
      <c r="F11" s="88" t="s">
        <v>215</v>
      </c>
      <c r="G11" s="56" t="s">
        <v>218</v>
      </c>
      <c r="H11" s="89" t="s">
        <v>219</v>
      </c>
      <c r="I11" s="438">
        <v>5000</v>
      </c>
      <c r="J11" s="142"/>
      <c r="K11" s="142">
        <f t="shared" si="0"/>
        <v>5000</v>
      </c>
      <c r="L11" s="82" t="s">
        <v>142</v>
      </c>
      <c r="M11" s="41"/>
      <c r="N11" s="59" t="s">
        <v>220</v>
      </c>
      <c r="O11" s="439">
        <v>950</v>
      </c>
      <c r="P11" s="60" t="s">
        <v>142</v>
      </c>
    </row>
    <row r="12" spans="1:16" ht="30" customHeight="1">
      <c r="A12" s="61" t="s">
        <v>5</v>
      </c>
      <c r="B12" s="62" t="s">
        <v>209</v>
      </c>
      <c r="C12" s="69" t="s">
        <v>108</v>
      </c>
      <c r="D12" s="70" t="s">
        <v>210</v>
      </c>
      <c r="E12" s="87" t="s">
        <v>17</v>
      </c>
      <c r="F12" s="88" t="s">
        <v>215</v>
      </c>
      <c r="G12" s="56" t="s">
        <v>221</v>
      </c>
      <c r="H12" s="89" t="s">
        <v>222</v>
      </c>
      <c r="I12" s="438">
        <v>5000</v>
      </c>
      <c r="J12" s="142"/>
      <c r="K12" s="142">
        <f t="shared" si="0"/>
        <v>5000</v>
      </c>
      <c r="L12" s="82" t="s">
        <v>142</v>
      </c>
      <c r="M12" s="41"/>
      <c r="N12" s="59"/>
      <c r="O12" s="439"/>
      <c r="P12" s="60"/>
    </row>
    <row r="13" spans="1:16" ht="32">
      <c r="A13" s="61" t="s">
        <v>5</v>
      </c>
      <c r="B13" s="62" t="s">
        <v>209</v>
      </c>
      <c r="C13" s="61" t="s">
        <v>109</v>
      </c>
      <c r="D13" s="62" t="s">
        <v>223</v>
      </c>
      <c r="E13" s="71" t="s">
        <v>18</v>
      </c>
      <c r="F13" s="72" t="s">
        <v>224</v>
      </c>
      <c r="G13" s="65" t="s">
        <v>72</v>
      </c>
      <c r="H13" s="73" t="s">
        <v>225</v>
      </c>
      <c r="I13" s="440">
        <v>12000</v>
      </c>
      <c r="J13" s="134"/>
      <c r="K13" s="134">
        <f t="shared" si="0"/>
        <v>12000</v>
      </c>
      <c r="L13" s="134" t="s">
        <v>195</v>
      </c>
      <c r="M13" s="41"/>
      <c r="N13" s="52" t="s">
        <v>226</v>
      </c>
      <c r="O13" s="437">
        <v>4700</v>
      </c>
      <c r="P13" s="53" t="s">
        <v>227</v>
      </c>
    </row>
    <row r="14" spans="1:16" ht="30" customHeight="1">
      <c r="A14" s="61" t="s">
        <v>5</v>
      </c>
      <c r="B14" s="62" t="s">
        <v>209</v>
      </c>
      <c r="C14" s="61" t="s">
        <v>109</v>
      </c>
      <c r="D14" s="62" t="s">
        <v>223</v>
      </c>
      <c r="E14" s="61" t="s">
        <v>19</v>
      </c>
      <c r="F14" s="74" t="s">
        <v>228</v>
      </c>
      <c r="G14" s="90" t="s">
        <v>229</v>
      </c>
      <c r="H14" s="91" t="s">
        <v>230</v>
      </c>
      <c r="I14" s="441">
        <v>12000</v>
      </c>
      <c r="J14" s="82"/>
      <c r="K14" s="82">
        <f t="shared" si="0"/>
        <v>12000</v>
      </c>
      <c r="L14" s="82" t="s">
        <v>195</v>
      </c>
      <c r="M14" s="41"/>
      <c r="N14" s="59"/>
      <c r="O14" s="439"/>
      <c r="P14" s="60"/>
    </row>
    <row r="15" spans="1:16" ht="32">
      <c r="A15" s="75" t="s">
        <v>26</v>
      </c>
      <c r="B15" s="76" t="s">
        <v>231</v>
      </c>
      <c r="C15" s="69" t="s">
        <v>6</v>
      </c>
      <c r="D15" s="70" t="s">
        <v>232</v>
      </c>
      <c r="E15" s="71" t="s">
        <v>20</v>
      </c>
      <c r="F15" s="72" t="s">
        <v>233</v>
      </c>
      <c r="G15" s="65" t="s">
        <v>234</v>
      </c>
      <c r="H15" s="73" t="s">
        <v>671</v>
      </c>
      <c r="I15" s="440">
        <v>20000</v>
      </c>
      <c r="J15" s="134"/>
      <c r="K15" s="134">
        <f t="shared" si="0"/>
        <v>20000</v>
      </c>
      <c r="L15" s="134" t="s">
        <v>195</v>
      </c>
      <c r="M15" s="41"/>
      <c r="N15" s="52"/>
      <c r="O15" s="437"/>
      <c r="P15" s="53"/>
    </row>
    <row r="16" spans="1:16" ht="32">
      <c r="A16" s="75" t="s">
        <v>26</v>
      </c>
      <c r="B16" s="76" t="s">
        <v>231</v>
      </c>
      <c r="C16" s="69" t="s">
        <v>6</v>
      </c>
      <c r="D16" s="70" t="s">
        <v>232</v>
      </c>
      <c r="E16" s="71" t="s">
        <v>20</v>
      </c>
      <c r="F16" s="72" t="s">
        <v>233</v>
      </c>
      <c r="G16" s="65" t="s">
        <v>78</v>
      </c>
      <c r="H16" s="73" t="s">
        <v>672</v>
      </c>
      <c r="I16" s="440">
        <v>30000</v>
      </c>
      <c r="J16" s="134"/>
      <c r="K16" s="134">
        <f t="shared" si="0"/>
        <v>30000</v>
      </c>
      <c r="L16" s="134" t="s">
        <v>195</v>
      </c>
      <c r="M16" s="41"/>
      <c r="N16" s="52"/>
      <c r="O16" s="437"/>
      <c r="P16" s="53"/>
    </row>
    <row r="17" spans="1:16" ht="30" customHeight="1">
      <c r="A17" s="75" t="s">
        <v>26</v>
      </c>
      <c r="B17" s="76" t="s">
        <v>231</v>
      </c>
      <c r="C17" s="69" t="s">
        <v>6</v>
      </c>
      <c r="D17" s="70" t="s">
        <v>232</v>
      </c>
      <c r="E17" s="87" t="s">
        <v>21</v>
      </c>
      <c r="F17" s="88" t="s">
        <v>235</v>
      </c>
      <c r="G17" s="90" t="s">
        <v>236</v>
      </c>
      <c r="H17" s="91" t="s">
        <v>673</v>
      </c>
      <c r="I17" s="441">
        <v>20000</v>
      </c>
      <c r="J17" s="82"/>
      <c r="K17" s="82">
        <f t="shared" si="0"/>
        <v>20000</v>
      </c>
      <c r="L17" s="82" t="s">
        <v>195</v>
      </c>
      <c r="M17" s="41"/>
      <c r="N17" s="59" t="s">
        <v>237</v>
      </c>
      <c r="O17" s="439">
        <v>25500</v>
      </c>
      <c r="P17" s="60" t="s">
        <v>214</v>
      </c>
    </row>
    <row r="18" spans="1:16" ht="16">
      <c r="A18" s="75" t="s">
        <v>26</v>
      </c>
      <c r="B18" s="76" t="s">
        <v>231</v>
      </c>
      <c r="C18" s="61" t="s">
        <v>7</v>
      </c>
      <c r="D18" s="62" t="s">
        <v>238</v>
      </c>
      <c r="E18" s="71" t="s">
        <v>22</v>
      </c>
      <c r="F18" s="72" t="s">
        <v>239</v>
      </c>
      <c r="G18" s="65" t="s">
        <v>240</v>
      </c>
      <c r="H18" s="73" t="s">
        <v>241</v>
      </c>
      <c r="I18" s="440">
        <v>8000</v>
      </c>
      <c r="J18" s="134"/>
      <c r="K18" s="134">
        <f t="shared" si="0"/>
        <v>8000</v>
      </c>
      <c r="L18" s="134" t="s">
        <v>195</v>
      </c>
      <c r="M18" s="41"/>
      <c r="N18" s="52" t="s">
        <v>242</v>
      </c>
      <c r="O18" s="437">
        <v>4900</v>
      </c>
      <c r="P18" s="53" t="s">
        <v>195</v>
      </c>
    </row>
    <row r="19" spans="1:16" ht="30" customHeight="1">
      <c r="A19" s="75" t="s">
        <v>26</v>
      </c>
      <c r="B19" s="76" t="s">
        <v>231</v>
      </c>
      <c r="C19" s="61" t="s">
        <v>7</v>
      </c>
      <c r="D19" s="62" t="s">
        <v>238</v>
      </c>
      <c r="E19" s="87" t="s">
        <v>23</v>
      </c>
      <c r="F19" s="88" t="s">
        <v>243</v>
      </c>
      <c r="G19" s="90" t="s">
        <v>85</v>
      </c>
      <c r="H19" s="91" t="s">
        <v>244</v>
      </c>
      <c r="I19" s="441">
        <v>4000</v>
      </c>
      <c r="J19" s="82"/>
      <c r="K19" s="82">
        <f t="shared" si="0"/>
        <v>4000</v>
      </c>
      <c r="L19" s="82" t="s">
        <v>195</v>
      </c>
      <c r="M19" s="41"/>
      <c r="N19" s="59"/>
      <c r="O19" s="439"/>
      <c r="P19" s="60"/>
    </row>
    <row r="20" spans="1:16" ht="32">
      <c r="A20" s="75" t="s">
        <v>26</v>
      </c>
      <c r="B20" s="76" t="s">
        <v>231</v>
      </c>
      <c r="C20" s="61" t="s">
        <v>7</v>
      </c>
      <c r="D20" s="62" t="s">
        <v>238</v>
      </c>
      <c r="E20" s="87" t="s">
        <v>23</v>
      </c>
      <c r="F20" s="88" t="s">
        <v>243</v>
      </c>
      <c r="G20" s="56" t="s">
        <v>86</v>
      </c>
      <c r="H20" s="62" t="s">
        <v>674</v>
      </c>
      <c r="I20" s="438">
        <v>10000</v>
      </c>
      <c r="J20" s="142"/>
      <c r="K20" s="142">
        <f t="shared" si="0"/>
        <v>10000</v>
      </c>
      <c r="L20" s="82" t="s">
        <v>142</v>
      </c>
      <c r="M20" s="41"/>
      <c r="N20" s="59" t="s">
        <v>245</v>
      </c>
      <c r="O20" s="439">
        <v>8800</v>
      </c>
      <c r="P20" s="60" t="s">
        <v>142</v>
      </c>
    </row>
    <row r="21" spans="1:16" ht="32">
      <c r="A21" s="75" t="s">
        <v>26</v>
      </c>
      <c r="B21" s="76" t="s">
        <v>231</v>
      </c>
      <c r="C21" s="61" t="s">
        <v>7</v>
      </c>
      <c r="D21" s="62" t="s">
        <v>238</v>
      </c>
      <c r="E21" s="87" t="s">
        <v>23</v>
      </c>
      <c r="F21" s="88" t="s">
        <v>243</v>
      </c>
      <c r="G21" s="90" t="s">
        <v>87</v>
      </c>
      <c r="H21" s="91" t="s">
        <v>246</v>
      </c>
      <c r="I21" s="441">
        <v>6000</v>
      </c>
      <c r="J21" s="82"/>
      <c r="K21" s="82">
        <f t="shared" si="0"/>
        <v>6000</v>
      </c>
      <c r="L21" s="82" t="s">
        <v>195</v>
      </c>
      <c r="M21" s="41"/>
      <c r="N21" s="59" t="s">
        <v>247</v>
      </c>
      <c r="O21" s="439">
        <v>4900</v>
      </c>
      <c r="P21" s="60" t="s">
        <v>248</v>
      </c>
    </row>
    <row r="22" spans="1:16" ht="16">
      <c r="A22" s="75" t="s">
        <v>26</v>
      </c>
      <c r="B22" s="76" t="s">
        <v>231</v>
      </c>
      <c r="C22" s="61" t="s">
        <v>7</v>
      </c>
      <c r="D22" s="62" t="s">
        <v>238</v>
      </c>
      <c r="E22" s="87" t="s">
        <v>23</v>
      </c>
      <c r="F22" s="88" t="s">
        <v>243</v>
      </c>
      <c r="G22" s="90" t="s">
        <v>249</v>
      </c>
      <c r="H22" s="91" t="s">
        <v>103</v>
      </c>
      <c r="I22" s="441">
        <v>3000</v>
      </c>
      <c r="J22" s="82"/>
      <c r="K22" s="82">
        <f t="shared" si="0"/>
        <v>3000</v>
      </c>
      <c r="L22" s="82" t="s">
        <v>195</v>
      </c>
      <c r="M22" s="41"/>
      <c r="N22" s="442" t="s">
        <v>103</v>
      </c>
      <c r="O22" s="443">
        <v>1500</v>
      </c>
      <c r="P22" s="60" t="s">
        <v>248</v>
      </c>
    </row>
    <row r="23" spans="1:16">
      <c r="O23" s="444"/>
    </row>
    <row r="24" spans="1:16" ht="16.5" customHeight="1">
      <c r="H24" s="418" t="s">
        <v>186</v>
      </c>
      <c r="I24" s="419">
        <f>SUM(I25:I27)</f>
        <v>9500</v>
      </c>
      <c r="J24" s="419">
        <f>SUM(J25:J27)</f>
        <v>248</v>
      </c>
      <c r="K24" s="419">
        <f t="shared" ref="K24" si="1">I24-J24</f>
        <v>9252</v>
      </c>
      <c r="L24" s="418"/>
      <c r="N24" s="445" t="s">
        <v>187</v>
      </c>
      <c r="O24" s="444"/>
    </row>
    <row r="25" spans="1:16" ht="16.5" customHeight="1">
      <c r="H25" s="420" t="s">
        <v>675</v>
      </c>
      <c r="I25" s="421">
        <v>2600</v>
      </c>
      <c r="J25" s="421">
        <v>163</v>
      </c>
      <c r="K25" s="35">
        <f>I25-J25</f>
        <v>2437</v>
      </c>
      <c r="L25" s="1" t="s">
        <v>195</v>
      </c>
      <c r="N25" s="80" t="s">
        <v>250</v>
      </c>
      <c r="O25" s="446">
        <v>40800</v>
      </c>
      <c r="P25" s="422" t="s">
        <v>531</v>
      </c>
    </row>
    <row r="26" spans="1:16" s="8" customFormat="1" ht="16">
      <c r="H26" s="420" t="s">
        <v>676</v>
      </c>
      <c r="I26" s="421">
        <v>900</v>
      </c>
      <c r="J26" s="35"/>
      <c r="K26" s="35">
        <f t="shared" ref="K26:K27" si="2">I26-J26</f>
        <v>900</v>
      </c>
      <c r="L26" s="8" t="s">
        <v>541</v>
      </c>
      <c r="N26" s="447" t="s">
        <v>251</v>
      </c>
      <c r="O26" s="448">
        <v>191500</v>
      </c>
      <c r="P26" s="449" t="s">
        <v>531</v>
      </c>
    </row>
    <row r="27" spans="1:16" ht="16.5" customHeight="1">
      <c r="H27" s="420" t="s">
        <v>677</v>
      </c>
      <c r="I27" s="421">
        <v>6000</v>
      </c>
      <c r="J27" s="35">
        <v>85</v>
      </c>
      <c r="K27" s="35">
        <f t="shared" si="2"/>
        <v>5915</v>
      </c>
      <c r="L27" s="1" t="s">
        <v>541</v>
      </c>
      <c r="N27" s="80" t="s">
        <v>678</v>
      </c>
      <c r="O27" s="421">
        <v>3000</v>
      </c>
      <c r="P27" s="8" t="s">
        <v>541</v>
      </c>
    </row>
    <row r="28" spans="1:16" ht="16.5" customHeight="1">
      <c r="J28" s="35"/>
      <c r="N28" s="80" t="s">
        <v>679</v>
      </c>
      <c r="O28" s="421">
        <v>9000</v>
      </c>
      <c r="P28" s="450" t="s">
        <v>541</v>
      </c>
    </row>
    <row r="29" spans="1:16" ht="16">
      <c r="N29" s="80" t="s">
        <v>252</v>
      </c>
      <c r="O29" s="446">
        <v>12000</v>
      </c>
      <c r="P29" s="422" t="s">
        <v>531</v>
      </c>
    </row>
    <row r="30" spans="1:16">
      <c r="H30" s="451" t="s">
        <v>680</v>
      </c>
      <c r="I30" s="452" t="s">
        <v>681</v>
      </c>
    </row>
  </sheetData>
  <pageMargins left="0.7" right="0.7" top="0.75" bottom="0.75" header="0.3" footer="0.3"/>
  <pageSetup paperSize="8" scale="55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3AC0-0BCE-8544-9CBE-DCB559055D81}">
  <sheetPr>
    <pageSetUpPr fitToPage="1"/>
  </sheetPr>
  <dimension ref="A1:P30"/>
  <sheetViews>
    <sheetView zoomScale="85" zoomScaleNormal="85" workbookViewId="0">
      <selection activeCell="B14" sqref="B14"/>
    </sheetView>
  </sheetViews>
  <sheetFormatPr baseColWidth="10" defaultColWidth="9" defaultRowHeight="15"/>
  <cols>
    <col min="1" max="1" width="8.83203125" style="1" customWidth="1"/>
    <col min="2" max="2" width="45.83203125" style="1" customWidth="1"/>
    <col min="3" max="3" width="8.83203125" style="1" customWidth="1"/>
    <col min="4" max="4" width="45.83203125" style="1" customWidth="1"/>
    <col min="5" max="5" width="8.83203125" style="1" customWidth="1"/>
    <col min="6" max="6" width="45.83203125" style="1" customWidth="1"/>
    <col min="7" max="7" width="8.83203125" style="1" customWidth="1"/>
    <col min="8" max="8" width="40.83203125" style="1" customWidth="1"/>
    <col min="9" max="9" width="21.5" style="1" customWidth="1"/>
    <col min="10" max="10" width="12.83203125" style="1" bestFit="1" customWidth="1"/>
    <col min="11" max="11" width="9.6640625" style="1" bestFit="1" customWidth="1"/>
    <col min="12" max="12" width="10.83203125" style="1" customWidth="1"/>
    <col min="13" max="13" width="2.6640625" style="1" customWidth="1"/>
    <col min="14" max="14" width="40.83203125" style="1" customWidth="1"/>
    <col min="15" max="15" width="20.5" style="1" bestFit="1" customWidth="1"/>
    <col min="16" max="16" width="10.83203125" style="1" customWidth="1"/>
    <col min="17" max="16384" width="9" style="1"/>
  </cols>
  <sheetData>
    <row r="1" spans="1:16" ht="55" customHeight="1">
      <c r="A1" s="248" t="s">
        <v>472</v>
      </c>
      <c r="B1" s="247" t="s">
        <v>484</v>
      </c>
      <c r="C1" s="244" t="s">
        <v>472</v>
      </c>
      <c r="D1" s="247" t="s">
        <v>486</v>
      </c>
      <c r="E1" s="246" t="s">
        <v>474</v>
      </c>
      <c r="F1" s="247" t="s">
        <v>487</v>
      </c>
      <c r="H1" s="41"/>
      <c r="I1" s="383">
        <f>SUM(I3:I21)</f>
        <v>300000</v>
      </c>
      <c r="J1" s="383">
        <f>SUM(J3:J21)</f>
        <v>1890.5</v>
      </c>
      <c r="K1" s="383">
        <f>SUM(K3:K21)</f>
        <v>298109.5</v>
      </c>
      <c r="O1" s="315">
        <f>SUM(O3:O30)</f>
        <v>400000</v>
      </c>
    </row>
    <row r="2" spans="1:16" ht="48">
      <c r="A2" s="36" t="s">
        <v>27</v>
      </c>
      <c r="B2" s="36" t="s">
        <v>0</v>
      </c>
      <c r="C2" s="37" t="s">
        <v>133</v>
      </c>
      <c r="D2" s="37" t="s">
        <v>1</v>
      </c>
      <c r="E2" s="38" t="s">
        <v>134</v>
      </c>
      <c r="F2" s="38" t="s">
        <v>13</v>
      </c>
      <c r="G2" s="384" t="s">
        <v>135</v>
      </c>
      <c r="H2" s="384" t="s">
        <v>31</v>
      </c>
      <c r="I2" s="384" t="s">
        <v>136</v>
      </c>
      <c r="J2" s="40" t="s">
        <v>132</v>
      </c>
      <c r="K2" s="40" t="s">
        <v>666</v>
      </c>
      <c r="L2" s="40" t="s">
        <v>488</v>
      </c>
      <c r="N2" s="385" t="s">
        <v>32</v>
      </c>
      <c r="O2" s="385" t="s">
        <v>33</v>
      </c>
      <c r="P2" s="386" t="s">
        <v>35</v>
      </c>
    </row>
    <row r="3" spans="1:16" ht="32">
      <c r="A3" s="453" t="s">
        <v>2</v>
      </c>
      <c r="B3" s="454" t="s">
        <v>253</v>
      </c>
      <c r="C3" s="455" t="s">
        <v>3</v>
      </c>
      <c r="D3" s="456" t="s">
        <v>254</v>
      </c>
      <c r="E3" s="457" t="s">
        <v>139</v>
      </c>
      <c r="F3" s="458" t="s">
        <v>255</v>
      </c>
      <c r="G3" s="459" t="s">
        <v>36</v>
      </c>
      <c r="H3" s="460" t="s">
        <v>256</v>
      </c>
      <c r="I3" s="461">
        <v>16000</v>
      </c>
      <c r="J3" s="461">
        <f>451.8+1200</f>
        <v>1651.8</v>
      </c>
      <c r="K3" s="136">
        <f t="shared" ref="K3:K21" si="0">I3-J3</f>
        <v>14348.2</v>
      </c>
      <c r="L3" s="317" t="s">
        <v>682</v>
      </c>
      <c r="N3" s="462" t="s">
        <v>257</v>
      </c>
      <c r="O3" s="463">
        <v>4800</v>
      </c>
      <c r="P3" s="98" t="s">
        <v>195</v>
      </c>
    </row>
    <row r="4" spans="1:16" ht="70">
      <c r="A4" s="464" t="s">
        <v>2</v>
      </c>
      <c r="B4" s="465" t="s">
        <v>253</v>
      </c>
      <c r="C4" s="466" t="s">
        <v>3</v>
      </c>
      <c r="D4" s="467" t="s">
        <v>254</v>
      </c>
      <c r="E4" s="468" t="s">
        <v>139</v>
      </c>
      <c r="F4" s="469" t="s">
        <v>255</v>
      </c>
      <c r="G4" s="459" t="s">
        <v>37</v>
      </c>
      <c r="H4" s="460" t="s">
        <v>258</v>
      </c>
      <c r="I4" s="461">
        <v>57000</v>
      </c>
      <c r="J4" s="461">
        <f>238.7</f>
        <v>238.7</v>
      </c>
      <c r="K4" s="461">
        <f t="shared" si="0"/>
        <v>56761.3</v>
      </c>
      <c r="L4" s="317" t="s">
        <v>682</v>
      </c>
      <c r="N4" s="462" t="s">
        <v>683</v>
      </c>
      <c r="O4" s="463">
        <f>13500+3500</f>
        <v>17000</v>
      </c>
      <c r="P4" s="98" t="s">
        <v>195</v>
      </c>
    </row>
    <row r="5" spans="1:16" ht="32">
      <c r="A5" s="464" t="s">
        <v>2</v>
      </c>
      <c r="B5" s="465" t="s">
        <v>253</v>
      </c>
      <c r="C5" s="466" t="s">
        <v>3</v>
      </c>
      <c r="D5" s="467" t="s">
        <v>254</v>
      </c>
      <c r="E5" s="468" t="s">
        <v>139</v>
      </c>
      <c r="F5" s="469" t="s">
        <v>255</v>
      </c>
      <c r="G5" s="459" t="s">
        <v>38</v>
      </c>
      <c r="H5" s="460" t="s">
        <v>259</v>
      </c>
      <c r="I5" s="461">
        <v>14000</v>
      </c>
      <c r="J5" s="461"/>
      <c r="K5" s="461">
        <f t="shared" si="0"/>
        <v>14000</v>
      </c>
      <c r="L5" s="461" t="s">
        <v>682</v>
      </c>
      <c r="N5" s="462" t="s">
        <v>261</v>
      </c>
      <c r="O5" s="463">
        <v>2100</v>
      </c>
      <c r="P5" s="98" t="s">
        <v>214</v>
      </c>
    </row>
    <row r="6" spans="1:16" ht="34">
      <c r="A6" s="464" t="s">
        <v>2</v>
      </c>
      <c r="B6" s="465" t="s">
        <v>253</v>
      </c>
      <c r="C6" s="466" t="s">
        <v>3</v>
      </c>
      <c r="D6" s="467" t="s">
        <v>254</v>
      </c>
      <c r="E6" s="457" t="s">
        <v>139</v>
      </c>
      <c r="F6" s="458" t="s">
        <v>255</v>
      </c>
      <c r="G6" s="459" t="s">
        <v>262</v>
      </c>
      <c r="H6" s="470" t="s">
        <v>684</v>
      </c>
      <c r="I6" s="461">
        <v>5000</v>
      </c>
      <c r="J6" s="461"/>
      <c r="K6" s="461">
        <f t="shared" si="0"/>
        <v>5000</v>
      </c>
      <c r="L6" s="461" t="s">
        <v>682</v>
      </c>
      <c r="N6" s="462" t="s">
        <v>264</v>
      </c>
      <c r="O6" s="463">
        <f>4700</f>
        <v>4700</v>
      </c>
      <c r="P6" s="98" t="s">
        <v>214</v>
      </c>
    </row>
    <row r="7" spans="1:16" ht="36">
      <c r="A7" s="464" t="s">
        <v>2</v>
      </c>
      <c r="B7" s="465" t="s">
        <v>253</v>
      </c>
      <c r="C7" s="466" t="s">
        <v>3</v>
      </c>
      <c r="D7" s="467" t="s">
        <v>254</v>
      </c>
      <c r="E7" s="471" t="s">
        <v>139</v>
      </c>
      <c r="F7" s="472" t="s">
        <v>255</v>
      </c>
      <c r="G7" s="459" t="s">
        <v>263</v>
      </c>
      <c r="H7" s="470" t="s">
        <v>265</v>
      </c>
      <c r="I7" s="461">
        <v>20000</v>
      </c>
      <c r="J7" s="461"/>
      <c r="K7" s="461">
        <f t="shared" si="0"/>
        <v>20000</v>
      </c>
      <c r="L7" s="317" t="s">
        <v>682</v>
      </c>
      <c r="N7" s="462" t="s">
        <v>266</v>
      </c>
      <c r="O7" s="463">
        <v>12800</v>
      </c>
      <c r="P7" s="98" t="s">
        <v>227</v>
      </c>
    </row>
    <row r="8" spans="1:16" ht="18">
      <c r="A8" s="464" t="s">
        <v>2</v>
      </c>
      <c r="B8" s="465" t="s">
        <v>253</v>
      </c>
      <c r="C8" s="466" t="s">
        <v>3</v>
      </c>
      <c r="D8" s="467" t="s">
        <v>254</v>
      </c>
      <c r="E8" s="377" t="s">
        <v>119</v>
      </c>
      <c r="F8" s="473" t="s">
        <v>267</v>
      </c>
      <c r="G8" s="375" t="s">
        <v>197</v>
      </c>
      <c r="H8" s="474" t="s">
        <v>268</v>
      </c>
      <c r="I8" s="475">
        <v>30000</v>
      </c>
      <c r="J8" s="475"/>
      <c r="K8" s="475">
        <f t="shared" si="0"/>
        <v>30000</v>
      </c>
      <c r="L8" s="316" t="s">
        <v>313</v>
      </c>
      <c r="N8" s="476"/>
      <c r="O8" s="477"/>
      <c r="P8" s="478"/>
    </row>
    <row r="9" spans="1:16" ht="64">
      <c r="A9" s="464" t="s">
        <v>2</v>
      </c>
      <c r="B9" s="465" t="s">
        <v>253</v>
      </c>
      <c r="C9" s="377" t="s">
        <v>4</v>
      </c>
      <c r="D9" s="479" t="s">
        <v>269</v>
      </c>
      <c r="E9" s="471" t="s">
        <v>120</v>
      </c>
      <c r="F9" s="472" t="s">
        <v>270</v>
      </c>
      <c r="G9" s="459" t="s">
        <v>685</v>
      </c>
      <c r="H9" s="480"/>
      <c r="I9" s="481"/>
      <c r="J9" s="481"/>
      <c r="K9" s="481"/>
      <c r="L9" s="317" t="s">
        <v>214</v>
      </c>
      <c r="N9" s="99" t="s">
        <v>686</v>
      </c>
      <c r="O9" s="100">
        <f>50000+50000</f>
        <v>100000</v>
      </c>
      <c r="P9" s="98" t="s">
        <v>214</v>
      </c>
    </row>
    <row r="10" spans="1:16" ht="16">
      <c r="A10" s="464" t="s">
        <v>2</v>
      </c>
      <c r="B10" s="465" t="s">
        <v>253</v>
      </c>
      <c r="C10" s="377" t="s">
        <v>4</v>
      </c>
      <c r="D10" s="479" t="s">
        <v>269</v>
      </c>
      <c r="E10" s="377" t="s">
        <v>121</v>
      </c>
      <c r="F10" s="473" t="s">
        <v>271</v>
      </c>
      <c r="G10" s="375"/>
      <c r="H10" s="474"/>
      <c r="I10" s="475"/>
      <c r="J10" s="475"/>
      <c r="K10" s="475">
        <f t="shared" si="0"/>
        <v>0</v>
      </c>
      <c r="L10" s="475"/>
      <c r="N10" s="476"/>
      <c r="O10" s="477"/>
      <c r="P10" s="478"/>
    </row>
    <row r="11" spans="1:16" ht="96">
      <c r="A11" s="377" t="s">
        <v>5</v>
      </c>
      <c r="B11" s="479" t="s">
        <v>273</v>
      </c>
      <c r="C11" s="466" t="s">
        <v>108</v>
      </c>
      <c r="D11" s="467" t="s">
        <v>274</v>
      </c>
      <c r="E11" s="471" t="s">
        <v>122</v>
      </c>
      <c r="F11" s="472" t="s">
        <v>275</v>
      </c>
      <c r="G11" s="459" t="s">
        <v>687</v>
      </c>
      <c r="H11" s="482" t="s">
        <v>688</v>
      </c>
      <c r="I11" s="461">
        <v>10000</v>
      </c>
      <c r="J11" s="461"/>
      <c r="K11" s="461">
        <f t="shared" si="0"/>
        <v>10000</v>
      </c>
      <c r="L11" s="317" t="s">
        <v>142</v>
      </c>
      <c r="N11" s="462" t="s">
        <v>689</v>
      </c>
      <c r="O11" s="463">
        <v>8000</v>
      </c>
      <c r="P11" s="98" t="s">
        <v>538</v>
      </c>
    </row>
    <row r="12" spans="1:16" ht="32">
      <c r="A12" s="377" t="s">
        <v>5</v>
      </c>
      <c r="B12" s="479" t="s">
        <v>273</v>
      </c>
      <c r="C12" s="466" t="s">
        <v>108</v>
      </c>
      <c r="D12" s="467" t="s">
        <v>274</v>
      </c>
      <c r="E12" s="377" t="s">
        <v>123</v>
      </c>
      <c r="F12" s="473" t="s">
        <v>277</v>
      </c>
      <c r="G12" s="375" t="s">
        <v>690</v>
      </c>
      <c r="H12" s="474" t="s">
        <v>276</v>
      </c>
      <c r="I12" s="475">
        <v>9000</v>
      </c>
      <c r="J12" s="475"/>
      <c r="K12" s="475">
        <f t="shared" si="0"/>
        <v>9000</v>
      </c>
      <c r="L12" s="316" t="s">
        <v>142</v>
      </c>
      <c r="N12" s="476" t="s">
        <v>278</v>
      </c>
      <c r="O12" s="477">
        <v>400</v>
      </c>
      <c r="P12" s="111" t="s">
        <v>142</v>
      </c>
    </row>
    <row r="13" spans="1:16" ht="32">
      <c r="A13" s="377" t="s">
        <v>5</v>
      </c>
      <c r="B13" s="479" t="s">
        <v>273</v>
      </c>
      <c r="C13" s="466" t="s">
        <v>108</v>
      </c>
      <c r="D13" s="467" t="s">
        <v>274</v>
      </c>
      <c r="E13" s="471" t="s">
        <v>124</v>
      </c>
      <c r="F13" s="472" t="s">
        <v>279</v>
      </c>
      <c r="G13" s="459" t="s">
        <v>691</v>
      </c>
      <c r="H13" s="470" t="s">
        <v>280</v>
      </c>
      <c r="I13" s="461">
        <v>10000</v>
      </c>
      <c r="J13" s="461"/>
      <c r="K13" s="461">
        <f t="shared" si="0"/>
        <v>10000</v>
      </c>
      <c r="L13" s="317" t="s">
        <v>142</v>
      </c>
      <c r="N13" s="462" t="s">
        <v>281</v>
      </c>
      <c r="O13" s="463">
        <f>30000</f>
        <v>30000</v>
      </c>
      <c r="P13" s="98" t="s">
        <v>142</v>
      </c>
    </row>
    <row r="14" spans="1:16" ht="36">
      <c r="A14" s="377" t="s">
        <v>5</v>
      </c>
      <c r="B14" s="479" t="s">
        <v>273</v>
      </c>
      <c r="C14" s="377" t="s">
        <v>109</v>
      </c>
      <c r="D14" s="479" t="s">
        <v>282</v>
      </c>
      <c r="E14" s="377" t="s">
        <v>125</v>
      </c>
      <c r="F14" s="473" t="s">
        <v>283</v>
      </c>
      <c r="G14" s="375" t="s">
        <v>229</v>
      </c>
      <c r="H14" s="474" t="s">
        <v>284</v>
      </c>
      <c r="I14" s="475">
        <v>10000</v>
      </c>
      <c r="J14" s="475"/>
      <c r="K14" s="475">
        <f t="shared" si="0"/>
        <v>10000</v>
      </c>
      <c r="L14" s="475" t="s">
        <v>682</v>
      </c>
      <c r="N14" s="476" t="s">
        <v>285</v>
      </c>
      <c r="O14" s="477">
        <v>10000</v>
      </c>
      <c r="P14" s="111" t="s">
        <v>286</v>
      </c>
    </row>
    <row r="15" spans="1:16" ht="36">
      <c r="A15" s="464" t="s">
        <v>66</v>
      </c>
      <c r="B15" s="465" t="s">
        <v>287</v>
      </c>
      <c r="C15" s="466" t="s">
        <v>6</v>
      </c>
      <c r="D15" s="467" t="s">
        <v>288</v>
      </c>
      <c r="E15" s="471" t="s">
        <v>130</v>
      </c>
      <c r="F15" s="472" t="s">
        <v>289</v>
      </c>
      <c r="G15" s="459" t="s">
        <v>234</v>
      </c>
      <c r="H15" s="470" t="s">
        <v>290</v>
      </c>
      <c r="I15" s="461">
        <v>55000</v>
      </c>
      <c r="J15" s="461"/>
      <c r="K15" s="461">
        <f t="shared" si="0"/>
        <v>55000</v>
      </c>
      <c r="L15" s="317" t="s">
        <v>214</v>
      </c>
      <c r="N15" s="462" t="s">
        <v>692</v>
      </c>
      <c r="O15" s="463">
        <v>46400</v>
      </c>
      <c r="P15" s="98" t="s">
        <v>693</v>
      </c>
    </row>
    <row r="16" spans="1:16" ht="64">
      <c r="A16" s="464" t="s">
        <v>66</v>
      </c>
      <c r="B16" s="465" t="s">
        <v>287</v>
      </c>
      <c r="C16" s="466" t="s">
        <v>6</v>
      </c>
      <c r="D16" s="467" t="s">
        <v>288</v>
      </c>
      <c r="E16" s="471" t="s">
        <v>130</v>
      </c>
      <c r="F16" s="472" t="s">
        <v>289</v>
      </c>
      <c r="G16" s="375" t="s">
        <v>291</v>
      </c>
      <c r="H16" s="474" t="s">
        <v>292</v>
      </c>
      <c r="I16" s="475">
        <v>40000</v>
      </c>
      <c r="J16" s="475"/>
      <c r="K16" s="475">
        <f t="shared" si="0"/>
        <v>40000</v>
      </c>
      <c r="L16" s="316" t="s">
        <v>214</v>
      </c>
      <c r="N16" s="476" t="s">
        <v>694</v>
      </c>
      <c r="O16" s="477">
        <f>54000+13400</f>
        <v>67400</v>
      </c>
      <c r="P16" s="111" t="s">
        <v>214</v>
      </c>
    </row>
    <row r="17" spans="1:16" ht="16">
      <c r="A17" s="464" t="s">
        <v>66</v>
      </c>
      <c r="B17" s="465" t="s">
        <v>287</v>
      </c>
      <c r="C17" s="466" t="s">
        <v>6</v>
      </c>
      <c r="D17" s="467" t="s">
        <v>288</v>
      </c>
      <c r="E17" s="377" t="s">
        <v>131</v>
      </c>
      <c r="F17" s="473" t="s">
        <v>293</v>
      </c>
      <c r="G17" s="459"/>
      <c r="H17" s="470"/>
      <c r="I17" s="461"/>
      <c r="J17" s="461"/>
      <c r="K17" s="461">
        <f t="shared" si="0"/>
        <v>0</v>
      </c>
      <c r="L17" s="461"/>
      <c r="N17" s="462"/>
      <c r="O17" s="463"/>
      <c r="P17" s="483"/>
    </row>
    <row r="18" spans="1:16" ht="32">
      <c r="A18" s="464" t="s">
        <v>66</v>
      </c>
      <c r="B18" s="465" t="s">
        <v>287</v>
      </c>
      <c r="C18" s="466" t="s">
        <v>6</v>
      </c>
      <c r="D18" s="467" t="s">
        <v>288</v>
      </c>
      <c r="E18" s="377" t="s">
        <v>294</v>
      </c>
      <c r="F18" s="473" t="s">
        <v>295</v>
      </c>
      <c r="G18" s="375" t="s">
        <v>240</v>
      </c>
      <c r="H18" s="474" t="s">
        <v>296</v>
      </c>
      <c r="I18" s="475">
        <v>4000</v>
      </c>
      <c r="J18" s="475"/>
      <c r="K18" s="475">
        <f t="shared" si="0"/>
        <v>4000</v>
      </c>
      <c r="L18" s="475" t="s">
        <v>682</v>
      </c>
      <c r="N18" s="476" t="s">
        <v>297</v>
      </c>
      <c r="O18" s="477">
        <f>3000</f>
        <v>3000</v>
      </c>
      <c r="P18" s="111" t="s">
        <v>214</v>
      </c>
    </row>
    <row r="19" spans="1:16" ht="16">
      <c r="A19" s="464" t="s">
        <v>66</v>
      </c>
      <c r="B19" s="465" t="s">
        <v>287</v>
      </c>
      <c r="C19" s="377" t="s">
        <v>7</v>
      </c>
      <c r="D19" s="479" t="s">
        <v>298</v>
      </c>
      <c r="E19" s="471" t="s">
        <v>299</v>
      </c>
      <c r="F19" s="472" t="s">
        <v>300</v>
      </c>
      <c r="G19" s="459" t="s">
        <v>301</v>
      </c>
      <c r="H19" s="470" t="s">
        <v>302</v>
      </c>
      <c r="I19" s="461">
        <v>5000</v>
      </c>
      <c r="J19" s="461"/>
      <c r="K19" s="461">
        <f t="shared" si="0"/>
        <v>5000</v>
      </c>
      <c r="L19" s="461" t="s">
        <v>682</v>
      </c>
      <c r="N19" s="462"/>
      <c r="O19" s="463"/>
      <c r="P19" s="483"/>
    </row>
    <row r="20" spans="1:16" ht="48">
      <c r="A20" s="464" t="s">
        <v>66</v>
      </c>
      <c r="B20" s="465" t="s">
        <v>287</v>
      </c>
      <c r="C20" s="377" t="s">
        <v>7</v>
      </c>
      <c r="D20" s="479" t="s">
        <v>298</v>
      </c>
      <c r="E20" s="471" t="s">
        <v>299</v>
      </c>
      <c r="F20" s="472" t="s">
        <v>300</v>
      </c>
      <c r="G20" s="459" t="s">
        <v>303</v>
      </c>
      <c r="H20" s="470" t="s">
        <v>695</v>
      </c>
      <c r="I20" s="461">
        <v>12000</v>
      </c>
      <c r="J20" s="461"/>
      <c r="K20" s="461">
        <f t="shared" si="0"/>
        <v>12000</v>
      </c>
      <c r="L20" s="461" t="s">
        <v>682</v>
      </c>
      <c r="N20" s="462" t="s">
        <v>304</v>
      </c>
      <c r="O20" s="463">
        <v>750</v>
      </c>
      <c r="P20" s="483" t="s">
        <v>260</v>
      </c>
    </row>
    <row r="21" spans="1:16" ht="32">
      <c r="A21" s="464" t="s">
        <v>66</v>
      </c>
      <c r="B21" s="465" t="s">
        <v>287</v>
      </c>
      <c r="C21" s="377" t="s">
        <v>7</v>
      </c>
      <c r="D21" s="479" t="s">
        <v>298</v>
      </c>
      <c r="E21" s="471" t="s">
        <v>299</v>
      </c>
      <c r="F21" s="472" t="s">
        <v>300</v>
      </c>
      <c r="G21" s="459" t="s">
        <v>696</v>
      </c>
      <c r="H21" s="470" t="s">
        <v>103</v>
      </c>
      <c r="I21" s="461">
        <v>3000</v>
      </c>
      <c r="J21" s="461"/>
      <c r="K21" s="461">
        <f t="shared" si="0"/>
        <v>3000</v>
      </c>
      <c r="L21" s="461" t="s">
        <v>682</v>
      </c>
      <c r="N21" s="462" t="s">
        <v>697</v>
      </c>
      <c r="O21" s="463">
        <v>13800</v>
      </c>
      <c r="P21" s="483" t="s">
        <v>260</v>
      </c>
    </row>
    <row r="23" spans="1:16">
      <c r="H23" s="418" t="s">
        <v>186</v>
      </c>
      <c r="I23" s="419">
        <f>SUM(I24:I29)</f>
        <v>74900</v>
      </c>
      <c r="J23" s="419">
        <f>SUM(J24:J29)</f>
        <v>652.70000000000005</v>
      </c>
      <c r="K23" s="419">
        <f>I23-J23</f>
        <v>74247.3</v>
      </c>
      <c r="L23" s="418"/>
      <c r="N23" s="418" t="s">
        <v>187</v>
      </c>
      <c r="O23" s="444"/>
    </row>
    <row r="24" spans="1:16">
      <c r="H24" s="77" t="s">
        <v>698</v>
      </c>
      <c r="I24" s="35">
        <v>51000</v>
      </c>
      <c r="J24" s="35"/>
      <c r="K24" s="35">
        <f>I24-J24</f>
        <v>51000</v>
      </c>
      <c r="L24" s="1" t="s">
        <v>214</v>
      </c>
      <c r="N24" s="484" t="s">
        <v>305</v>
      </c>
      <c r="O24" s="35">
        <v>1300</v>
      </c>
      <c r="P24" s="1" t="s">
        <v>195</v>
      </c>
    </row>
    <row r="25" spans="1:16">
      <c r="H25" s="77" t="s">
        <v>699</v>
      </c>
      <c r="I25" s="35">
        <v>13400</v>
      </c>
      <c r="J25" s="35"/>
      <c r="K25" s="35">
        <f>I25-J25</f>
        <v>13400</v>
      </c>
      <c r="L25" s="1" t="s">
        <v>214</v>
      </c>
      <c r="N25" s="484" t="s">
        <v>306</v>
      </c>
      <c r="O25" s="35">
        <v>5150</v>
      </c>
      <c r="P25" s="1" t="s">
        <v>195</v>
      </c>
    </row>
    <row r="26" spans="1:16">
      <c r="H26" s="77" t="s">
        <v>700</v>
      </c>
      <c r="I26" s="35">
        <v>3500</v>
      </c>
      <c r="J26" s="35"/>
      <c r="K26" s="35">
        <f t="shared" ref="K26:K29" si="1">I26-J26</f>
        <v>3500</v>
      </c>
      <c r="L26" s="1" t="s">
        <v>313</v>
      </c>
      <c r="N26" s="484" t="s">
        <v>307</v>
      </c>
      <c r="O26" s="485">
        <v>26400</v>
      </c>
      <c r="P26" s="1" t="s">
        <v>531</v>
      </c>
    </row>
    <row r="27" spans="1:16" ht="16">
      <c r="H27" s="112" t="s">
        <v>701</v>
      </c>
      <c r="I27" s="35">
        <v>900</v>
      </c>
      <c r="J27" s="35">
        <v>180</v>
      </c>
      <c r="K27" s="35">
        <f t="shared" si="1"/>
        <v>720</v>
      </c>
      <c r="L27" s="8" t="s">
        <v>541</v>
      </c>
      <c r="N27" s="484" t="s">
        <v>308</v>
      </c>
      <c r="O27" s="485">
        <v>25000</v>
      </c>
      <c r="P27" s="1" t="s">
        <v>531</v>
      </c>
    </row>
    <row r="28" spans="1:16">
      <c r="H28" s="112" t="s">
        <v>677</v>
      </c>
      <c r="I28" s="35">
        <v>6100</v>
      </c>
      <c r="J28" s="35">
        <v>472.7</v>
      </c>
      <c r="K28" s="35">
        <f t="shared" si="1"/>
        <v>5627.3</v>
      </c>
      <c r="L28" s="1" t="s">
        <v>541</v>
      </c>
      <c r="N28" s="484" t="s">
        <v>309</v>
      </c>
      <c r="O28" s="485">
        <v>3000</v>
      </c>
      <c r="P28" s="1" t="s">
        <v>541</v>
      </c>
    </row>
    <row r="29" spans="1:16">
      <c r="K29" s="35">
        <f t="shared" si="1"/>
        <v>0</v>
      </c>
      <c r="N29" s="484" t="s">
        <v>702</v>
      </c>
      <c r="O29" s="485">
        <v>9000</v>
      </c>
      <c r="P29" s="1" t="s">
        <v>541</v>
      </c>
    </row>
    <row r="30" spans="1:16">
      <c r="N30" s="484" t="s">
        <v>190</v>
      </c>
      <c r="O30" s="485">
        <v>9000</v>
      </c>
      <c r="P30" s="1" t="s">
        <v>531</v>
      </c>
    </row>
  </sheetData>
  <pageMargins left="0.7" right="0.7" top="0.75" bottom="0.75" header="0.3" footer="0.3"/>
  <pageSetup paperSize="8" scale="55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9709-384B-7045-A053-5AE6F43B6217}">
  <dimension ref="A1:R30"/>
  <sheetViews>
    <sheetView zoomScale="85" zoomScaleNormal="85" workbookViewId="0">
      <selection activeCell="J25" sqref="J25"/>
    </sheetView>
  </sheetViews>
  <sheetFormatPr baseColWidth="10" defaultColWidth="8.83203125" defaultRowHeight="15"/>
  <cols>
    <col min="1" max="1" width="8.83203125" style="580"/>
    <col min="2" max="2" width="28.6640625" style="494" customWidth="1"/>
    <col min="3" max="3" width="8" style="580" customWidth="1"/>
    <col min="4" max="4" width="37.1640625" style="494" customWidth="1"/>
    <col min="5" max="5" width="8.6640625" style="580" customWidth="1"/>
    <col min="6" max="6" width="38" style="494" customWidth="1"/>
    <col min="7" max="7" width="8.1640625" style="580" customWidth="1"/>
    <col min="8" max="8" width="36.1640625" style="494" customWidth="1"/>
    <col min="9" max="9" width="13.1640625" style="494" customWidth="1"/>
    <col min="10" max="10" width="11.6640625" style="494" customWidth="1"/>
    <col min="11" max="11" width="11" style="494" customWidth="1"/>
    <col min="12" max="12" width="9.1640625" style="580" customWidth="1"/>
    <col min="13" max="13" width="26.6640625" style="494" customWidth="1"/>
    <col min="14" max="14" width="12.6640625" style="494" customWidth="1"/>
    <col min="15" max="15" width="14" style="494" customWidth="1"/>
    <col min="16" max="16" width="14.6640625" style="494" customWidth="1"/>
    <col min="17" max="17" width="8.33203125" style="580" customWidth="1"/>
    <col min="18" max="18" width="9.5" style="494" bestFit="1" customWidth="1"/>
    <col min="19" max="16384" width="8.83203125" style="494"/>
  </cols>
  <sheetData>
    <row r="1" spans="1:18" ht="45.75" customHeight="1">
      <c r="A1" s="486" t="s">
        <v>703</v>
      </c>
      <c r="B1" s="487" t="s">
        <v>704</v>
      </c>
      <c r="C1" s="488" t="s">
        <v>705</v>
      </c>
      <c r="D1" s="487" t="s">
        <v>706</v>
      </c>
      <c r="E1" s="489" t="s">
        <v>707</v>
      </c>
      <c r="F1" s="487" t="s">
        <v>708</v>
      </c>
      <c r="G1" s="490" t="s">
        <v>709</v>
      </c>
      <c r="H1" s="490"/>
      <c r="I1" s="490"/>
      <c r="J1" s="490"/>
      <c r="K1" s="490"/>
      <c r="L1" s="490"/>
      <c r="M1" s="491" t="s">
        <v>710</v>
      </c>
      <c r="N1" s="492"/>
      <c r="O1" s="492"/>
      <c r="P1" s="492"/>
      <c r="Q1" s="492"/>
      <c r="R1" s="493"/>
    </row>
    <row r="2" spans="1:18" ht="51">
      <c r="A2" s="495" t="s">
        <v>27</v>
      </c>
      <c r="B2" s="495" t="s">
        <v>711</v>
      </c>
      <c r="C2" s="496" t="s">
        <v>28</v>
      </c>
      <c r="D2" s="496" t="s">
        <v>712</v>
      </c>
      <c r="E2" s="497" t="s">
        <v>29</v>
      </c>
      <c r="F2" s="497" t="s">
        <v>713</v>
      </c>
      <c r="G2" s="498" t="s">
        <v>30</v>
      </c>
      <c r="H2" s="498" t="s">
        <v>714</v>
      </c>
      <c r="I2" s="499" t="s">
        <v>715</v>
      </c>
      <c r="J2" s="499" t="s">
        <v>716</v>
      </c>
      <c r="K2" s="499" t="s">
        <v>717</v>
      </c>
      <c r="L2" s="500" t="s">
        <v>35</v>
      </c>
      <c r="M2" s="501" t="s">
        <v>32</v>
      </c>
      <c r="N2" s="502" t="s">
        <v>715</v>
      </c>
      <c r="O2" s="502" t="s">
        <v>716</v>
      </c>
      <c r="P2" s="502" t="s">
        <v>717</v>
      </c>
      <c r="Q2" s="503" t="s">
        <v>35</v>
      </c>
      <c r="R2" s="504" t="s">
        <v>718</v>
      </c>
    </row>
    <row r="3" spans="1:18" ht="30" customHeight="1">
      <c r="A3" s="505" t="s">
        <v>2</v>
      </c>
      <c r="B3" s="506" t="s">
        <v>105</v>
      </c>
      <c r="C3" s="507" t="s">
        <v>3</v>
      </c>
      <c r="D3" s="508" t="s">
        <v>111</v>
      </c>
      <c r="E3" s="509" t="s">
        <v>139</v>
      </c>
      <c r="F3" s="510" t="s">
        <v>112</v>
      </c>
      <c r="G3" s="511" t="s">
        <v>36</v>
      </c>
      <c r="H3" s="512" t="s">
        <v>719</v>
      </c>
      <c r="I3" s="513">
        <v>5000</v>
      </c>
      <c r="J3" s="514">
        <v>0</v>
      </c>
      <c r="K3" s="515">
        <f>ROUND(J3/I3*100,2)</f>
        <v>0</v>
      </c>
      <c r="L3" s="516" t="s">
        <v>720</v>
      </c>
      <c r="M3" s="517" t="s">
        <v>719</v>
      </c>
      <c r="N3" s="518"/>
      <c r="O3" s="519">
        <v>0</v>
      </c>
      <c r="P3" s="520" t="e">
        <f>ROUND(O3/N3*100,2)</f>
        <v>#DIV/0!</v>
      </c>
      <c r="Q3" s="521" t="s">
        <v>720</v>
      </c>
      <c r="R3" s="522">
        <v>2835</v>
      </c>
    </row>
    <row r="4" spans="1:18" ht="30" customHeight="1">
      <c r="A4" s="505" t="s">
        <v>2</v>
      </c>
      <c r="B4" s="506" t="s">
        <v>105</v>
      </c>
      <c r="C4" s="507" t="s">
        <v>3</v>
      </c>
      <c r="D4" s="508" t="s">
        <v>111</v>
      </c>
      <c r="E4" s="509" t="s">
        <v>139</v>
      </c>
      <c r="F4" s="510" t="s">
        <v>112</v>
      </c>
      <c r="G4" s="511" t="s">
        <v>37</v>
      </c>
      <c r="H4" s="512" t="s">
        <v>721</v>
      </c>
      <c r="I4" s="513">
        <v>75000</v>
      </c>
      <c r="J4" s="514">
        <v>0</v>
      </c>
      <c r="K4" s="515">
        <f t="shared" ref="K4:K24" si="0">ROUND(J4/I4*100,2)</f>
        <v>0</v>
      </c>
      <c r="L4" s="516" t="s">
        <v>720</v>
      </c>
      <c r="M4" s="523" t="s">
        <v>722</v>
      </c>
      <c r="N4" s="524">
        <v>90700</v>
      </c>
      <c r="O4" s="525">
        <v>0</v>
      </c>
      <c r="P4" s="525">
        <f>ROUND(O4/N4*100,2)</f>
        <v>0</v>
      </c>
      <c r="Q4" s="526" t="s">
        <v>723</v>
      </c>
      <c r="R4" s="522">
        <v>59325</v>
      </c>
    </row>
    <row r="5" spans="1:18" ht="30" customHeight="1">
      <c r="A5" s="505" t="s">
        <v>2</v>
      </c>
      <c r="B5" s="506" t="s">
        <v>105</v>
      </c>
      <c r="C5" s="507" t="s">
        <v>3</v>
      </c>
      <c r="D5" s="508" t="s">
        <v>111</v>
      </c>
      <c r="E5" s="509" t="s">
        <v>139</v>
      </c>
      <c r="F5" s="510" t="s">
        <v>112</v>
      </c>
      <c r="G5" s="511" t="s">
        <v>38</v>
      </c>
      <c r="H5" s="512" t="s">
        <v>724</v>
      </c>
      <c r="I5" s="513">
        <v>30000</v>
      </c>
      <c r="J5" s="514">
        <v>0</v>
      </c>
      <c r="K5" s="515">
        <f t="shared" si="0"/>
        <v>0</v>
      </c>
      <c r="L5" s="516" t="s">
        <v>720</v>
      </c>
      <c r="M5" s="523" t="s">
        <v>725</v>
      </c>
      <c r="N5" s="524"/>
      <c r="O5" s="525">
        <v>0</v>
      </c>
      <c r="P5" s="525">
        <v>0</v>
      </c>
      <c r="Q5" s="526" t="s">
        <v>723</v>
      </c>
      <c r="R5" s="522">
        <v>84726</v>
      </c>
    </row>
    <row r="6" spans="1:18" ht="30" customHeight="1">
      <c r="A6" s="505" t="s">
        <v>2</v>
      </c>
      <c r="B6" s="506" t="s">
        <v>105</v>
      </c>
      <c r="C6" s="507" t="s">
        <v>3</v>
      </c>
      <c r="D6" s="508" t="s">
        <v>111</v>
      </c>
      <c r="E6" s="509" t="s">
        <v>119</v>
      </c>
      <c r="F6" s="527" t="s">
        <v>113</v>
      </c>
      <c r="G6" s="528" t="s">
        <v>197</v>
      </c>
      <c r="H6" s="529" t="s">
        <v>726</v>
      </c>
      <c r="I6" s="530">
        <v>10000</v>
      </c>
      <c r="J6" s="531">
        <v>0</v>
      </c>
      <c r="K6" s="532">
        <f t="shared" si="0"/>
        <v>0</v>
      </c>
      <c r="L6" s="533" t="s">
        <v>720</v>
      </c>
      <c r="M6" s="534" t="s">
        <v>106</v>
      </c>
      <c r="N6" s="535" t="s">
        <v>106</v>
      </c>
      <c r="O6" s="536"/>
      <c r="P6" s="537"/>
      <c r="Q6" s="538" t="s">
        <v>106</v>
      </c>
      <c r="R6" s="522">
        <v>20000</v>
      </c>
    </row>
    <row r="7" spans="1:18" ht="30" customHeight="1">
      <c r="A7" s="505" t="s">
        <v>2</v>
      </c>
      <c r="B7" s="506" t="s">
        <v>105</v>
      </c>
      <c r="C7" s="539" t="s">
        <v>4</v>
      </c>
      <c r="D7" s="527" t="s">
        <v>114</v>
      </c>
      <c r="E7" s="509" t="s">
        <v>120</v>
      </c>
      <c r="F7" s="510" t="s">
        <v>727</v>
      </c>
      <c r="G7" s="540" t="s">
        <v>202</v>
      </c>
      <c r="H7" s="541" t="s">
        <v>728</v>
      </c>
      <c r="I7" s="542" t="s">
        <v>729</v>
      </c>
      <c r="J7" s="514"/>
      <c r="K7" s="515"/>
      <c r="L7" s="516" t="s">
        <v>720</v>
      </c>
      <c r="M7" s="543" t="s">
        <v>106</v>
      </c>
      <c r="N7" s="544" t="s">
        <v>106</v>
      </c>
      <c r="O7" s="519"/>
      <c r="P7" s="520"/>
      <c r="Q7" s="545" t="s">
        <v>106</v>
      </c>
      <c r="R7" s="546" t="s">
        <v>106</v>
      </c>
    </row>
    <row r="8" spans="1:18" ht="30" customHeight="1">
      <c r="A8" s="505" t="s">
        <v>2</v>
      </c>
      <c r="B8" s="506" t="s">
        <v>105</v>
      </c>
      <c r="C8" s="539" t="s">
        <v>4</v>
      </c>
      <c r="D8" s="527" t="s">
        <v>114</v>
      </c>
      <c r="E8" s="509" t="s">
        <v>121</v>
      </c>
      <c r="F8" s="529" t="s">
        <v>730</v>
      </c>
      <c r="G8" s="528" t="s">
        <v>272</v>
      </c>
      <c r="H8" s="547" t="s">
        <v>728</v>
      </c>
      <c r="I8" s="548" t="s">
        <v>729</v>
      </c>
      <c r="J8" s="531"/>
      <c r="K8" s="532"/>
      <c r="L8" s="533" t="s">
        <v>720</v>
      </c>
      <c r="M8" s="549" t="s">
        <v>106</v>
      </c>
      <c r="N8" s="550"/>
      <c r="O8" s="536"/>
      <c r="P8" s="537"/>
      <c r="Q8" s="538" t="s">
        <v>106</v>
      </c>
      <c r="R8" s="546" t="s">
        <v>106</v>
      </c>
    </row>
    <row r="9" spans="1:18" ht="30" customHeight="1">
      <c r="A9" s="551" t="s">
        <v>5</v>
      </c>
      <c r="B9" s="527" t="s">
        <v>107</v>
      </c>
      <c r="C9" s="507" t="s">
        <v>108</v>
      </c>
      <c r="D9" s="508" t="s">
        <v>731</v>
      </c>
      <c r="E9" s="509" t="s">
        <v>122</v>
      </c>
      <c r="F9" s="552" t="s">
        <v>732</v>
      </c>
      <c r="G9" s="540" t="s">
        <v>212</v>
      </c>
      <c r="H9" s="553" t="s">
        <v>733</v>
      </c>
      <c r="I9" s="554">
        <v>4000</v>
      </c>
      <c r="J9" s="514">
        <v>0</v>
      </c>
      <c r="K9" s="515">
        <f t="shared" si="0"/>
        <v>0</v>
      </c>
      <c r="L9" s="516" t="s">
        <v>720</v>
      </c>
      <c r="M9" s="544" t="s">
        <v>106</v>
      </c>
      <c r="N9" s="519" t="s">
        <v>106</v>
      </c>
      <c r="O9" s="519"/>
      <c r="P9" s="520"/>
      <c r="Q9" s="545" t="s">
        <v>106</v>
      </c>
      <c r="R9" s="546" t="s">
        <v>106</v>
      </c>
    </row>
    <row r="10" spans="1:18" ht="30" customHeight="1">
      <c r="A10" s="551" t="s">
        <v>5</v>
      </c>
      <c r="B10" s="527" t="s">
        <v>107</v>
      </c>
      <c r="C10" s="539" t="s">
        <v>109</v>
      </c>
      <c r="D10" s="527" t="s">
        <v>734</v>
      </c>
      <c r="E10" s="509" t="s">
        <v>123</v>
      </c>
      <c r="F10" s="529" t="s">
        <v>735</v>
      </c>
      <c r="G10" s="528" t="s">
        <v>318</v>
      </c>
      <c r="H10" s="555" t="s">
        <v>736</v>
      </c>
      <c r="I10" s="530">
        <v>95000</v>
      </c>
      <c r="J10" s="531">
        <v>0</v>
      </c>
      <c r="K10" s="532">
        <f t="shared" si="0"/>
        <v>0</v>
      </c>
      <c r="L10" s="533" t="s">
        <v>720</v>
      </c>
      <c r="M10" s="535" t="s">
        <v>106</v>
      </c>
      <c r="N10" s="550" t="s">
        <v>106</v>
      </c>
      <c r="O10" s="536"/>
      <c r="P10" s="537"/>
      <c r="Q10" s="538" t="s">
        <v>106</v>
      </c>
      <c r="R10" s="546" t="s">
        <v>106</v>
      </c>
    </row>
    <row r="11" spans="1:18" ht="30" customHeight="1">
      <c r="A11" s="551" t="s">
        <v>5</v>
      </c>
      <c r="B11" s="527" t="s">
        <v>107</v>
      </c>
      <c r="C11" s="539" t="s">
        <v>109</v>
      </c>
      <c r="D11" s="527" t="s">
        <v>734</v>
      </c>
      <c r="E11" s="509" t="s">
        <v>123</v>
      </c>
      <c r="F11" s="529" t="s">
        <v>735</v>
      </c>
      <c r="G11" s="528" t="s">
        <v>737</v>
      </c>
      <c r="H11" s="555" t="s">
        <v>738</v>
      </c>
      <c r="I11" s="530">
        <v>20000</v>
      </c>
      <c r="J11" s="531">
        <v>0</v>
      </c>
      <c r="K11" s="532">
        <f t="shared" si="0"/>
        <v>0</v>
      </c>
      <c r="L11" s="533" t="s">
        <v>720</v>
      </c>
      <c r="M11" s="535" t="s">
        <v>106</v>
      </c>
      <c r="N11" s="550" t="s">
        <v>106</v>
      </c>
      <c r="O11" s="536"/>
      <c r="P11" s="537"/>
      <c r="Q11" s="538" t="s">
        <v>106</v>
      </c>
      <c r="R11" s="546" t="s">
        <v>106</v>
      </c>
    </row>
    <row r="12" spans="1:18" ht="30" customHeight="1">
      <c r="A12" s="551" t="s">
        <v>5</v>
      </c>
      <c r="B12" s="527" t="s">
        <v>107</v>
      </c>
      <c r="C12" s="539" t="s">
        <v>109</v>
      </c>
      <c r="D12" s="527" t="s">
        <v>734</v>
      </c>
      <c r="E12" s="509" t="s">
        <v>124</v>
      </c>
      <c r="F12" s="552" t="s">
        <v>739</v>
      </c>
      <c r="G12" s="540" t="s">
        <v>740</v>
      </c>
      <c r="H12" s="553" t="s">
        <v>741</v>
      </c>
      <c r="I12" s="554">
        <v>5000</v>
      </c>
      <c r="J12" s="514">
        <v>0</v>
      </c>
      <c r="K12" s="515">
        <f t="shared" si="0"/>
        <v>0</v>
      </c>
      <c r="L12" s="516" t="s">
        <v>720</v>
      </c>
      <c r="M12" s="544" t="s">
        <v>106</v>
      </c>
      <c r="N12" s="519" t="s">
        <v>106</v>
      </c>
      <c r="O12" s="519"/>
      <c r="P12" s="520"/>
      <c r="Q12" s="545" t="s">
        <v>106</v>
      </c>
      <c r="R12" s="556">
        <v>12429</v>
      </c>
    </row>
    <row r="13" spans="1:18" ht="30" customHeight="1">
      <c r="A13" s="505" t="s">
        <v>66</v>
      </c>
      <c r="B13" s="506" t="s">
        <v>742</v>
      </c>
      <c r="C13" s="557" t="s">
        <v>6</v>
      </c>
      <c r="D13" s="508" t="s">
        <v>115</v>
      </c>
      <c r="E13" s="509" t="s">
        <v>125</v>
      </c>
      <c r="F13" s="555" t="s">
        <v>743</v>
      </c>
      <c r="G13" s="528" t="s">
        <v>229</v>
      </c>
      <c r="H13" s="555" t="s">
        <v>741</v>
      </c>
      <c r="I13" s="530">
        <v>5000</v>
      </c>
      <c r="J13" s="531">
        <v>0</v>
      </c>
      <c r="K13" s="532">
        <f t="shared" si="0"/>
        <v>0</v>
      </c>
      <c r="L13" s="533" t="s">
        <v>720</v>
      </c>
      <c r="M13" s="535" t="s">
        <v>106</v>
      </c>
      <c r="N13" s="550" t="s">
        <v>106</v>
      </c>
      <c r="O13" s="536"/>
      <c r="P13" s="537"/>
      <c r="Q13" s="538" t="s">
        <v>106</v>
      </c>
      <c r="R13" s="556">
        <v>9090</v>
      </c>
    </row>
    <row r="14" spans="1:18" ht="30" customHeight="1">
      <c r="A14" s="505" t="s">
        <v>66</v>
      </c>
      <c r="B14" s="506" t="s">
        <v>742</v>
      </c>
      <c r="C14" s="557" t="s">
        <v>6</v>
      </c>
      <c r="D14" s="508" t="s">
        <v>115</v>
      </c>
      <c r="E14" s="509" t="s">
        <v>130</v>
      </c>
      <c r="F14" s="558" t="s">
        <v>744</v>
      </c>
      <c r="G14" s="540" t="s">
        <v>291</v>
      </c>
      <c r="H14" s="553" t="s">
        <v>726</v>
      </c>
      <c r="I14" s="554">
        <v>10000</v>
      </c>
      <c r="J14" s="514">
        <v>0</v>
      </c>
      <c r="K14" s="515">
        <f t="shared" si="0"/>
        <v>0</v>
      </c>
      <c r="L14" s="516" t="s">
        <v>720</v>
      </c>
      <c r="M14" s="544" t="s">
        <v>106</v>
      </c>
      <c r="N14" s="519" t="s">
        <v>106</v>
      </c>
      <c r="O14" s="519"/>
      <c r="P14" s="520"/>
      <c r="Q14" s="545" t="s">
        <v>106</v>
      </c>
      <c r="R14" s="546" t="s">
        <v>106</v>
      </c>
    </row>
    <row r="15" spans="1:18" ht="30" customHeight="1">
      <c r="A15" s="505" t="s">
        <v>66</v>
      </c>
      <c r="B15" s="506" t="s">
        <v>742</v>
      </c>
      <c r="C15" s="559" t="s">
        <v>7</v>
      </c>
      <c r="D15" s="555" t="s">
        <v>116</v>
      </c>
      <c r="E15" s="509" t="s">
        <v>131</v>
      </c>
      <c r="F15" s="555" t="s">
        <v>745</v>
      </c>
      <c r="G15" s="528" t="s">
        <v>236</v>
      </c>
      <c r="H15" s="555" t="s">
        <v>746</v>
      </c>
      <c r="I15" s="530">
        <v>6000</v>
      </c>
      <c r="J15" s="531"/>
      <c r="K15" s="532">
        <f>ROUND(J15/I15*100,2)</f>
        <v>0</v>
      </c>
      <c r="L15" s="533" t="s">
        <v>720</v>
      </c>
      <c r="M15" s="535" t="s">
        <v>106</v>
      </c>
      <c r="N15" s="550" t="s">
        <v>106</v>
      </c>
      <c r="O15" s="536"/>
      <c r="P15" s="537"/>
      <c r="Q15" s="538" t="s">
        <v>106</v>
      </c>
      <c r="R15" s="546" t="s">
        <v>106</v>
      </c>
    </row>
    <row r="16" spans="1:18" ht="30" customHeight="1">
      <c r="A16" s="505" t="s">
        <v>66</v>
      </c>
      <c r="B16" s="506" t="s">
        <v>742</v>
      </c>
      <c r="C16" s="559" t="s">
        <v>7</v>
      </c>
      <c r="D16" s="555" t="s">
        <v>116</v>
      </c>
      <c r="E16" s="509" t="s">
        <v>294</v>
      </c>
      <c r="F16" s="558" t="s">
        <v>747</v>
      </c>
      <c r="G16" s="540" t="s">
        <v>240</v>
      </c>
      <c r="H16" s="553" t="s">
        <v>748</v>
      </c>
      <c r="I16" s="554">
        <v>12000</v>
      </c>
      <c r="J16" s="514">
        <v>0</v>
      </c>
      <c r="K16" s="515">
        <f t="shared" si="0"/>
        <v>0</v>
      </c>
      <c r="L16" s="516" t="s">
        <v>720</v>
      </c>
      <c r="M16" s="560" t="s">
        <v>748</v>
      </c>
      <c r="N16" s="561">
        <v>7000</v>
      </c>
      <c r="O16" s="519">
        <v>305</v>
      </c>
      <c r="P16" s="520">
        <f t="shared" ref="P16:P24" si="1">ROUND(O16/N16*100,2)</f>
        <v>4.3600000000000003</v>
      </c>
      <c r="Q16" s="521" t="s">
        <v>720</v>
      </c>
      <c r="R16" s="556">
        <v>3032</v>
      </c>
    </row>
    <row r="17" spans="1:18" ht="30" customHeight="1">
      <c r="A17" s="505" t="s">
        <v>66</v>
      </c>
      <c r="B17" s="506" t="s">
        <v>742</v>
      </c>
      <c r="C17" s="559" t="s">
        <v>7</v>
      </c>
      <c r="D17" s="555" t="s">
        <v>116</v>
      </c>
      <c r="E17" s="509" t="s">
        <v>294</v>
      </c>
      <c r="F17" s="558" t="s">
        <v>747</v>
      </c>
      <c r="G17" s="540" t="s">
        <v>749</v>
      </c>
      <c r="H17" s="553" t="s">
        <v>750</v>
      </c>
      <c r="I17" s="554">
        <v>10000</v>
      </c>
      <c r="J17" s="514">
        <v>0</v>
      </c>
      <c r="K17" s="515">
        <f t="shared" si="0"/>
        <v>0</v>
      </c>
      <c r="L17" s="516" t="s">
        <v>720</v>
      </c>
      <c r="M17" s="562" t="s">
        <v>750</v>
      </c>
      <c r="N17" s="561">
        <v>7000</v>
      </c>
      <c r="O17" s="519">
        <v>0</v>
      </c>
      <c r="P17" s="520">
        <f t="shared" si="1"/>
        <v>0</v>
      </c>
      <c r="Q17" s="521" t="s">
        <v>720</v>
      </c>
      <c r="R17" s="556">
        <v>21196</v>
      </c>
    </row>
    <row r="18" spans="1:18" ht="30" customHeight="1">
      <c r="A18" s="505" t="s">
        <v>66</v>
      </c>
      <c r="B18" s="506" t="s">
        <v>742</v>
      </c>
      <c r="C18" s="559" t="s">
        <v>7</v>
      </c>
      <c r="D18" s="555" t="s">
        <v>116</v>
      </c>
      <c r="E18" s="509" t="s">
        <v>294</v>
      </c>
      <c r="F18" s="558" t="s">
        <v>747</v>
      </c>
      <c r="G18" s="540" t="s">
        <v>751</v>
      </c>
      <c r="H18" s="553" t="s">
        <v>752</v>
      </c>
      <c r="I18" s="554">
        <v>2000</v>
      </c>
      <c r="J18" s="514">
        <v>0</v>
      </c>
      <c r="K18" s="515">
        <f t="shared" si="0"/>
        <v>0</v>
      </c>
      <c r="L18" s="516" t="s">
        <v>720</v>
      </c>
      <c r="M18" s="553" t="s">
        <v>752</v>
      </c>
      <c r="N18" s="563" t="s">
        <v>106</v>
      </c>
      <c r="O18" s="519"/>
      <c r="P18" s="520"/>
      <c r="Q18" s="521" t="s">
        <v>106</v>
      </c>
      <c r="R18" s="556">
        <v>4325</v>
      </c>
    </row>
    <row r="19" spans="1:18" ht="30" customHeight="1">
      <c r="A19" s="551" t="s">
        <v>8</v>
      </c>
      <c r="B19" s="527" t="s">
        <v>110</v>
      </c>
      <c r="C19" s="557" t="s">
        <v>9</v>
      </c>
      <c r="D19" s="564" t="s">
        <v>117</v>
      </c>
      <c r="E19" s="509" t="s">
        <v>299</v>
      </c>
      <c r="F19" s="555" t="s">
        <v>753</v>
      </c>
      <c r="G19" s="528" t="s">
        <v>301</v>
      </c>
      <c r="H19" s="555" t="s">
        <v>754</v>
      </c>
      <c r="I19" s="530">
        <v>10000</v>
      </c>
      <c r="J19" s="531">
        <v>0</v>
      </c>
      <c r="K19" s="532">
        <f t="shared" si="0"/>
        <v>0</v>
      </c>
      <c r="L19" s="533" t="s">
        <v>720</v>
      </c>
      <c r="M19" s="565" t="s">
        <v>754</v>
      </c>
      <c r="N19" s="566"/>
      <c r="O19" s="536">
        <v>0</v>
      </c>
      <c r="P19" s="537" t="e">
        <f t="shared" si="1"/>
        <v>#DIV/0!</v>
      </c>
      <c r="Q19" s="567" t="s">
        <v>720</v>
      </c>
      <c r="R19" s="556">
        <v>8582</v>
      </c>
    </row>
    <row r="20" spans="1:18" ht="30" customHeight="1">
      <c r="A20" s="551" t="s">
        <v>8</v>
      </c>
      <c r="B20" s="527" t="s">
        <v>110</v>
      </c>
      <c r="C20" s="557" t="s">
        <v>9</v>
      </c>
      <c r="D20" s="564" t="s">
        <v>117</v>
      </c>
      <c r="E20" s="509" t="s">
        <v>299</v>
      </c>
      <c r="F20" s="555" t="s">
        <v>753</v>
      </c>
      <c r="G20" s="528" t="s">
        <v>303</v>
      </c>
      <c r="H20" s="555" t="s">
        <v>755</v>
      </c>
      <c r="I20" s="530">
        <v>25000</v>
      </c>
      <c r="J20" s="531">
        <v>0</v>
      </c>
      <c r="K20" s="532">
        <f t="shared" si="0"/>
        <v>0</v>
      </c>
      <c r="L20" s="533" t="s">
        <v>720</v>
      </c>
      <c r="M20" s="565" t="s">
        <v>755</v>
      </c>
      <c r="N20" s="566">
        <v>25455</v>
      </c>
      <c r="O20" s="536">
        <v>0</v>
      </c>
      <c r="P20" s="537">
        <f t="shared" si="1"/>
        <v>0</v>
      </c>
      <c r="Q20" s="567" t="s">
        <v>720</v>
      </c>
      <c r="R20" s="556">
        <v>52034</v>
      </c>
    </row>
    <row r="21" spans="1:18" ht="30" customHeight="1">
      <c r="A21" s="551" t="s">
        <v>8</v>
      </c>
      <c r="B21" s="527" t="s">
        <v>110</v>
      </c>
      <c r="C21" s="557" t="s">
        <v>9</v>
      </c>
      <c r="D21" s="564" t="s">
        <v>117</v>
      </c>
      <c r="E21" s="509" t="s">
        <v>325</v>
      </c>
      <c r="F21" s="558" t="s">
        <v>756</v>
      </c>
      <c r="G21" s="540" t="s">
        <v>326</v>
      </c>
      <c r="H21" s="568" t="s">
        <v>746</v>
      </c>
      <c r="I21" s="554">
        <v>6000</v>
      </c>
      <c r="J21" s="514">
        <v>293</v>
      </c>
      <c r="K21" s="515">
        <f t="shared" si="0"/>
        <v>4.88</v>
      </c>
      <c r="L21" s="516" t="s">
        <v>720</v>
      </c>
      <c r="M21" s="543" t="s">
        <v>106</v>
      </c>
      <c r="N21" s="544" t="s">
        <v>106</v>
      </c>
      <c r="O21" s="519"/>
      <c r="P21" s="520"/>
      <c r="Q21" s="545" t="s">
        <v>106</v>
      </c>
      <c r="R21" s="556">
        <v>9964</v>
      </c>
    </row>
    <row r="22" spans="1:18" ht="30" customHeight="1">
      <c r="A22" s="551" t="s">
        <v>8</v>
      </c>
      <c r="B22" s="527" t="s">
        <v>110</v>
      </c>
      <c r="C22" s="559" t="s">
        <v>10</v>
      </c>
      <c r="D22" s="555" t="s">
        <v>118</v>
      </c>
      <c r="E22" s="509" t="s">
        <v>327</v>
      </c>
      <c r="F22" s="555" t="s">
        <v>757</v>
      </c>
      <c r="G22" s="528" t="s">
        <v>329</v>
      </c>
      <c r="H22" s="555" t="s">
        <v>758</v>
      </c>
      <c r="I22" s="530">
        <v>10000</v>
      </c>
      <c r="J22" s="531">
        <v>0</v>
      </c>
      <c r="K22" s="532">
        <f t="shared" si="0"/>
        <v>0</v>
      </c>
      <c r="L22" s="533" t="s">
        <v>720</v>
      </c>
      <c r="M22" s="565" t="s">
        <v>758</v>
      </c>
      <c r="N22" s="566">
        <v>10500</v>
      </c>
      <c r="O22" s="536">
        <v>0</v>
      </c>
      <c r="P22" s="537">
        <f t="shared" si="1"/>
        <v>0</v>
      </c>
      <c r="Q22" s="567" t="s">
        <v>720</v>
      </c>
      <c r="R22" s="556">
        <v>7001</v>
      </c>
    </row>
    <row r="23" spans="1:18" ht="30" customHeight="1">
      <c r="A23" s="551" t="s">
        <v>8</v>
      </c>
      <c r="B23" s="527" t="s">
        <v>110</v>
      </c>
      <c r="C23" s="559" t="s">
        <v>10</v>
      </c>
      <c r="D23" s="555" t="s">
        <v>118</v>
      </c>
      <c r="E23" s="509" t="s">
        <v>327</v>
      </c>
      <c r="F23" s="555" t="s">
        <v>757</v>
      </c>
      <c r="G23" s="528" t="s">
        <v>759</v>
      </c>
      <c r="H23" s="555" t="s">
        <v>760</v>
      </c>
      <c r="I23" s="530">
        <v>10000</v>
      </c>
      <c r="J23" s="531">
        <v>0</v>
      </c>
      <c r="K23" s="532">
        <f t="shared" si="0"/>
        <v>0</v>
      </c>
      <c r="L23" s="533" t="s">
        <v>720</v>
      </c>
      <c r="M23" s="569" t="s">
        <v>760</v>
      </c>
      <c r="N23" s="570">
        <v>4245</v>
      </c>
      <c r="O23" s="536">
        <v>642</v>
      </c>
      <c r="P23" s="537">
        <f t="shared" si="1"/>
        <v>15.12</v>
      </c>
      <c r="Q23" s="571" t="s">
        <v>720</v>
      </c>
      <c r="R23" s="556">
        <v>42705</v>
      </c>
    </row>
    <row r="24" spans="1:18" ht="30" customHeight="1">
      <c r="A24" s="572" t="s">
        <v>106</v>
      </c>
      <c r="B24" s="555" t="s">
        <v>106</v>
      </c>
      <c r="C24" s="559" t="s">
        <v>106</v>
      </c>
      <c r="D24" s="555" t="s">
        <v>106</v>
      </c>
      <c r="E24" s="559" t="s">
        <v>106</v>
      </c>
      <c r="F24" s="555" t="s">
        <v>106</v>
      </c>
      <c r="G24" s="559" t="s">
        <v>106</v>
      </c>
      <c r="H24" s="573" t="s">
        <v>761</v>
      </c>
      <c r="I24" s="574">
        <v>350000</v>
      </c>
      <c r="J24" s="531">
        <f>SUM(J3:J23)</f>
        <v>293</v>
      </c>
      <c r="K24" s="532">
        <f t="shared" si="0"/>
        <v>0.08</v>
      </c>
      <c r="L24" s="575" t="s">
        <v>106</v>
      </c>
      <c r="M24" s="576" t="s">
        <v>762</v>
      </c>
      <c r="N24" s="577">
        <f>SUM(N3:N23)</f>
        <v>144900</v>
      </c>
      <c r="O24" s="536">
        <f>SUM(O3:O23)</f>
        <v>947</v>
      </c>
      <c r="P24" s="537">
        <f t="shared" si="1"/>
        <v>0.65</v>
      </c>
      <c r="Q24" s="578" t="s">
        <v>106</v>
      </c>
      <c r="R24" s="579">
        <f>SUM(R3:R23)</f>
        <v>337244</v>
      </c>
    </row>
    <row r="26" spans="1:18" ht="16.5" customHeight="1">
      <c r="I26" s="581" t="s">
        <v>763</v>
      </c>
      <c r="J26" s="582">
        <v>650000</v>
      </c>
      <c r="K26" s="583"/>
      <c r="M26" s="584" t="s">
        <v>764</v>
      </c>
      <c r="N26" s="585"/>
      <c r="R26" s="586">
        <v>111494</v>
      </c>
    </row>
    <row r="27" spans="1:18" ht="16.5" customHeight="1">
      <c r="I27" s="581" t="s">
        <v>765</v>
      </c>
      <c r="J27" s="582">
        <v>473183</v>
      </c>
      <c r="K27" s="583"/>
      <c r="M27" s="587" t="s">
        <v>766</v>
      </c>
      <c r="N27" s="586"/>
      <c r="O27" s="588"/>
      <c r="R27" s="586">
        <v>4935</v>
      </c>
    </row>
    <row r="28" spans="1:18" ht="16.5" customHeight="1">
      <c r="I28" s="581" t="s">
        <v>767</v>
      </c>
      <c r="J28" s="582">
        <v>176817</v>
      </c>
      <c r="K28" s="583"/>
      <c r="M28" s="589" t="s">
        <v>768</v>
      </c>
      <c r="N28" s="590">
        <v>5300</v>
      </c>
    </row>
    <row r="29" spans="1:18">
      <c r="I29" s="583"/>
      <c r="J29" s="583"/>
      <c r="K29" s="583"/>
      <c r="M29" s="584" t="s">
        <v>769</v>
      </c>
      <c r="N29" s="586"/>
      <c r="R29" s="586">
        <v>19500</v>
      </c>
    </row>
    <row r="30" spans="1:18">
      <c r="I30" s="583"/>
      <c r="J30" s="583"/>
      <c r="K30" s="583"/>
      <c r="M30" s="580"/>
      <c r="N30" s="585">
        <f>SUM(N24:N29)</f>
        <v>150200</v>
      </c>
      <c r="R30" s="585">
        <f>SUM(R24:R29)</f>
        <v>473173</v>
      </c>
    </row>
  </sheetData>
  <mergeCells count="2">
    <mergeCell ref="G1:L1"/>
    <mergeCell ref="M1:R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A5EF-BF87-EA47-910A-03DC8A16B868}">
  <sheetPr>
    <pageSetUpPr fitToPage="1"/>
  </sheetPr>
  <dimension ref="A1:Q49"/>
  <sheetViews>
    <sheetView topLeftCell="C1" zoomScale="85" zoomScaleNormal="85" workbookViewId="0">
      <pane ySplit="1" topLeftCell="A2" activePane="bottomLeft" state="frozen"/>
      <selection pane="bottomLeft" activeCell="R25" sqref="R25"/>
    </sheetView>
  </sheetViews>
  <sheetFormatPr baseColWidth="10" defaultColWidth="9" defaultRowHeight="16.5" customHeight="1"/>
  <cols>
    <col min="1" max="1" width="8.83203125" style="1" customWidth="1"/>
    <col min="2" max="2" width="45.83203125" style="1" customWidth="1"/>
    <col min="3" max="3" width="8.83203125" style="1" customWidth="1"/>
    <col min="4" max="4" width="45.83203125" style="1" customWidth="1"/>
    <col min="5" max="5" width="8.83203125" style="1" customWidth="1"/>
    <col min="6" max="6" width="46.83203125" style="1" customWidth="1"/>
    <col min="7" max="9" width="13.6640625" style="1" customWidth="1"/>
    <col min="10" max="10" width="11.33203125" style="8" customWidth="1"/>
    <col min="11" max="11" width="11.6640625" style="1" customWidth="1"/>
    <col min="12" max="12" width="52.6640625" style="1" customWidth="1"/>
    <col min="13" max="13" width="20.5" style="1" bestFit="1" customWidth="1"/>
    <col min="14" max="15" width="20.5" style="1" customWidth="1"/>
    <col min="16" max="16" width="14.6640625" style="1" customWidth="1"/>
    <col min="17" max="17" width="13.1640625" style="1" customWidth="1"/>
    <col min="18" max="16384" width="9" style="1"/>
  </cols>
  <sheetData>
    <row r="1" spans="1:17" ht="55" customHeight="1">
      <c r="G1" s="591"/>
      <c r="H1" s="591"/>
      <c r="I1" s="591"/>
      <c r="J1" s="591"/>
      <c r="L1" s="592" t="s">
        <v>770</v>
      </c>
      <c r="M1" s="593"/>
      <c r="N1" s="593"/>
      <c r="O1" s="593"/>
      <c r="P1" s="594"/>
      <c r="Q1" s="34"/>
    </row>
    <row r="2" spans="1:17" ht="54" customHeight="1">
      <c r="A2" s="2" t="s">
        <v>27</v>
      </c>
      <c r="B2" s="2" t="s">
        <v>0</v>
      </c>
      <c r="C2" s="3" t="s">
        <v>28</v>
      </c>
      <c r="D2" s="3" t="s">
        <v>1</v>
      </c>
      <c r="E2" s="4" t="s">
        <v>29</v>
      </c>
      <c r="F2" s="4" t="s">
        <v>13</v>
      </c>
      <c r="G2" s="307" t="s">
        <v>771</v>
      </c>
      <c r="H2" s="307" t="s">
        <v>772</v>
      </c>
      <c r="I2" s="307" t="s">
        <v>773</v>
      </c>
      <c r="J2" s="305" t="s">
        <v>774</v>
      </c>
      <c r="K2" s="7"/>
      <c r="L2" s="308" t="s">
        <v>775</v>
      </c>
      <c r="M2" s="308" t="s">
        <v>771</v>
      </c>
      <c r="N2" s="308" t="s">
        <v>776</v>
      </c>
      <c r="O2" s="308" t="s">
        <v>777</v>
      </c>
      <c r="P2" s="309" t="s">
        <v>35</v>
      </c>
      <c r="Q2" s="310" t="s">
        <v>778</v>
      </c>
    </row>
    <row r="3" spans="1:17" s="16" customFormat="1" ht="30" customHeight="1">
      <c r="A3" s="9" t="s">
        <v>2</v>
      </c>
      <c r="B3" s="10" t="s">
        <v>97</v>
      </c>
      <c r="C3" s="11" t="s">
        <v>3</v>
      </c>
      <c r="D3" s="12" t="s">
        <v>50</v>
      </c>
      <c r="E3" s="13" t="s">
        <v>11</v>
      </c>
      <c r="F3" s="595" t="s">
        <v>779</v>
      </c>
      <c r="G3" s="14">
        <v>72000</v>
      </c>
      <c r="H3" s="596" t="s">
        <v>780</v>
      </c>
      <c r="I3" s="597" t="s">
        <v>780</v>
      </c>
      <c r="J3" s="31" t="s">
        <v>781</v>
      </c>
      <c r="K3" s="598" t="s">
        <v>782</v>
      </c>
      <c r="L3" s="599"/>
      <c r="M3" s="312"/>
      <c r="N3" s="33"/>
      <c r="O3" s="34"/>
      <c r="P3" s="33"/>
      <c r="Q3" s="600"/>
    </row>
    <row r="4" spans="1:17" s="16" customFormat="1" ht="30" customHeight="1">
      <c r="A4" s="22" t="s">
        <v>42</v>
      </c>
      <c r="B4" s="10" t="s">
        <v>97</v>
      </c>
      <c r="C4" s="23" t="s">
        <v>41</v>
      </c>
      <c r="D4" s="12" t="s">
        <v>50</v>
      </c>
      <c r="E4" s="24" t="s">
        <v>12</v>
      </c>
      <c r="F4" s="601" t="s">
        <v>783</v>
      </c>
      <c r="G4" s="602">
        <v>30000</v>
      </c>
      <c r="H4" s="596" t="s">
        <v>780</v>
      </c>
      <c r="I4" s="603" t="s">
        <v>780</v>
      </c>
      <c r="J4" s="604" t="s">
        <v>784</v>
      </c>
      <c r="K4" s="598" t="s">
        <v>785</v>
      </c>
      <c r="L4" s="605" t="s">
        <v>786</v>
      </c>
      <c r="M4" s="606">
        <v>9600</v>
      </c>
      <c r="N4" s="607">
        <v>520</v>
      </c>
      <c r="O4" s="608">
        <f t="shared" ref="O4:O5" si="0">ROUND(N4/M4*100,2)</f>
        <v>5.42</v>
      </c>
      <c r="P4" s="609" t="s">
        <v>781</v>
      </c>
      <c r="Q4" s="600"/>
    </row>
    <row r="5" spans="1:17" s="16" customFormat="1" ht="30" customHeight="1">
      <c r="A5" s="22" t="s">
        <v>42</v>
      </c>
      <c r="B5" s="10" t="s">
        <v>97</v>
      </c>
      <c r="C5" s="23" t="s">
        <v>41</v>
      </c>
      <c r="D5" s="12" t="s">
        <v>50</v>
      </c>
      <c r="E5" s="24" t="s">
        <v>12</v>
      </c>
      <c r="F5" s="601" t="s">
        <v>783</v>
      </c>
      <c r="G5" s="596">
        <v>100000</v>
      </c>
      <c r="H5" s="596" t="s">
        <v>780</v>
      </c>
      <c r="I5" s="603" t="s">
        <v>780</v>
      </c>
      <c r="J5" s="604" t="s">
        <v>784</v>
      </c>
      <c r="K5" s="598" t="s">
        <v>787</v>
      </c>
      <c r="L5" s="605" t="s">
        <v>788</v>
      </c>
      <c r="M5" s="606">
        <v>12000</v>
      </c>
      <c r="N5" s="607">
        <v>3840</v>
      </c>
      <c r="O5" s="608">
        <f t="shared" si="0"/>
        <v>32</v>
      </c>
      <c r="P5" s="610" t="s">
        <v>781</v>
      </c>
      <c r="Q5" s="600"/>
    </row>
    <row r="6" spans="1:17" s="16" customFormat="1" ht="30" customHeight="1">
      <c r="A6" s="17" t="s">
        <v>42</v>
      </c>
      <c r="B6" s="10" t="s">
        <v>97</v>
      </c>
      <c r="C6" s="20" t="s">
        <v>46</v>
      </c>
      <c r="D6" s="21" t="s">
        <v>51</v>
      </c>
      <c r="E6" s="25" t="s">
        <v>14</v>
      </c>
      <c r="F6" s="611" t="s">
        <v>789</v>
      </c>
      <c r="G6" s="19">
        <v>10000</v>
      </c>
      <c r="H6" s="596">
        <v>950</v>
      </c>
      <c r="I6" s="603" t="s">
        <v>780</v>
      </c>
      <c r="J6" s="604" t="s">
        <v>790</v>
      </c>
      <c r="K6" s="598" t="s">
        <v>791</v>
      </c>
      <c r="L6" s="605"/>
      <c r="M6" s="606"/>
      <c r="N6" s="607"/>
      <c r="O6" s="608"/>
      <c r="P6" s="609"/>
      <c r="Q6" s="612"/>
    </row>
    <row r="7" spans="1:17" s="16" customFormat="1" ht="30" customHeight="1">
      <c r="A7" s="17" t="s">
        <v>2</v>
      </c>
      <c r="B7" s="10" t="s">
        <v>97</v>
      </c>
      <c r="C7" s="20" t="s">
        <v>4</v>
      </c>
      <c r="D7" s="21" t="s">
        <v>51</v>
      </c>
      <c r="E7" s="20" t="s">
        <v>15</v>
      </c>
      <c r="F7" s="601" t="s">
        <v>792</v>
      </c>
      <c r="G7" s="15">
        <v>25000</v>
      </c>
      <c r="H7" s="596" t="s">
        <v>780</v>
      </c>
      <c r="I7" s="603" t="s">
        <v>780</v>
      </c>
      <c r="J7" s="604" t="s">
        <v>790</v>
      </c>
      <c r="K7" s="598" t="s">
        <v>793</v>
      </c>
      <c r="L7" s="613"/>
      <c r="M7" s="606"/>
      <c r="N7" s="614" t="s">
        <v>780</v>
      </c>
      <c r="O7" s="608"/>
      <c r="P7" s="610"/>
      <c r="Q7" s="600"/>
    </row>
    <row r="8" spans="1:17" s="16" customFormat="1" ht="30" customHeight="1">
      <c r="A8" s="20" t="s">
        <v>60</v>
      </c>
      <c r="B8" s="21" t="s">
        <v>98</v>
      </c>
      <c r="C8" s="18" t="s">
        <v>54</v>
      </c>
      <c r="D8" s="27" t="s">
        <v>52</v>
      </c>
      <c r="E8" s="25" t="s">
        <v>16</v>
      </c>
      <c r="F8" s="611" t="s">
        <v>794</v>
      </c>
      <c r="G8" s="19">
        <v>16000</v>
      </c>
      <c r="H8" s="596" t="s">
        <v>780</v>
      </c>
      <c r="I8" s="603" t="s">
        <v>780</v>
      </c>
      <c r="J8" s="604" t="s">
        <v>790</v>
      </c>
      <c r="K8" s="598" t="s">
        <v>795</v>
      </c>
      <c r="L8" s="613"/>
      <c r="M8" s="606"/>
      <c r="N8" s="607"/>
      <c r="O8" s="608"/>
      <c r="P8" s="610"/>
      <c r="Q8" s="600"/>
    </row>
    <row r="9" spans="1:17" s="16" customFormat="1" ht="30" customHeight="1">
      <c r="A9" s="20" t="s">
        <v>5</v>
      </c>
      <c r="B9" s="21" t="s">
        <v>98</v>
      </c>
      <c r="C9" s="18" t="s">
        <v>54</v>
      </c>
      <c r="D9" s="27" t="s">
        <v>52</v>
      </c>
      <c r="E9" s="20" t="s">
        <v>17</v>
      </c>
      <c r="F9" s="601" t="s">
        <v>796</v>
      </c>
      <c r="G9" s="596">
        <v>12000</v>
      </c>
      <c r="H9" s="596" t="s">
        <v>780</v>
      </c>
      <c r="I9" s="603" t="s">
        <v>780</v>
      </c>
      <c r="J9" s="604" t="s">
        <v>797</v>
      </c>
      <c r="K9" s="598" t="s">
        <v>798</v>
      </c>
      <c r="L9" s="613"/>
      <c r="M9" s="606"/>
      <c r="N9" s="607"/>
      <c r="O9" s="608"/>
      <c r="P9" s="610"/>
      <c r="Q9" s="600"/>
    </row>
    <row r="10" spans="1:17" s="16" customFormat="1" ht="30" customHeight="1">
      <c r="A10" s="20" t="s">
        <v>60</v>
      </c>
      <c r="B10" s="21" t="s">
        <v>98</v>
      </c>
      <c r="C10" s="20" t="s">
        <v>59</v>
      </c>
      <c r="D10" s="21" t="s">
        <v>53</v>
      </c>
      <c r="E10" s="25" t="s">
        <v>18</v>
      </c>
      <c r="F10" s="611" t="s">
        <v>799</v>
      </c>
      <c r="G10" s="19">
        <v>132000</v>
      </c>
      <c r="H10" s="596" t="s">
        <v>780</v>
      </c>
      <c r="I10" s="603" t="s">
        <v>780</v>
      </c>
      <c r="J10" s="604" t="s">
        <v>797</v>
      </c>
      <c r="K10" s="598" t="s">
        <v>100</v>
      </c>
      <c r="L10" s="613" t="s">
        <v>800</v>
      </c>
      <c r="M10" s="606">
        <v>20840</v>
      </c>
      <c r="N10" s="607"/>
      <c r="O10" s="608"/>
      <c r="P10" s="610" t="s">
        <v>797</v>
      </c>
      <c r="Q10" s="312"/>
    </row>
    <row r="11" spans="1:17" s="16" customFormat="1" ht="30" customHeight="1">
      <c r="A11" s="24" t="s">
        <v>60</v>
      </c>
      <c r="B11" s="21" t="s">
        <v>98</v>
      </c>
      <c r="C11" s="24" t="s">
        <v>59</v>
      </c>
      <c r="D11" s="21" t="s">
        <v>53</v>
      </c>
      <c r="E11" s="20" t="s">
        <v>19</v>
      </c>
      <c r="F11" s="6" t="s">
        <v>801</v>
      </c>
      <c r="G11" s="15">
        <v>48000</v>
      </c>
      <c r="H11" s="596" t="s">
        <v>780</v>
      </c>
      <c r="I11" s="603" t="s">
        <v>780</v>
      </c>
      <c r="J11" s="604" t="s">
        <v>797</v>
      </c>
      <c r="K11" s="598" t="s">
        <v>802</v>
      </c>
      <c r="L11" s="613" t="s">
        <v>803</v>
      </c>
      <c r="M11" s="606">
        <v>160000</v>
      </c>
      <c r="N11" s="607">
        <v>3176</v>
      </c>
      <c r="O11" s="608">
        <f t="shared" ref="O11" si="1">ROUND(N11/M11*100,2)</f>
        <v>1.99</v>
      </c>
      <c r="P11" s="615" t="s">
        <v>781</v>
      </c>
      <c r="Q11" s="34"/>
    </row>
    <row r="12" spans="1:17" s="16" customFormat="1" ht="30" customHeight="1">
      <c r="A12" s="24" t="s">
        <v>60</v>
      </c>
      <c r="B12" s="21" t="s">
        <v>98</v>
      </c>
      <c r="C12" s="24" t="s">
        <v>59</v>
      </c>
      <c r="D12" s="21" t="s">
        <v>53</v>
      </c>
      <c r="E12" s="24" t="s">
        <v>19</v>
      </c>
      <c r="F12" s="6" t="s">
        <v>801</v>
      </c>
      <c r="G12" s="15">
        <v>30000</v>
      </c>
      <c r="H12" s="596"/>
      <c r="I12" s="603"/>
      <c r="J12" s="604" t="s">
        <v>797</v>
      </c>
      <c r="K12" s="598" t="s">
        <v>804</v>
      </c>
      <c r="L12" s="613" t="s">
        <v>805</v>
      </c>
      <c r="M12" s="606">
        <v>5000</v>
      </c>
      <c r="N12" s="607"/>
      <c r="O12" s="608"/>
      <c r="P12" s="615" t="s">
        <v>781</v>
      </c>
      <c r="Q12" s="34"/>
    </row>
    <row r="13" spans="1:17" s="16" customFormat="1" ht="30" customHeight="1">
      <c r="A13" s="17" t="s">
        <v>26</v>
      </c>
      <c r="B13" s="28" t="s">
        <v>806</v>
      </c>
      <c r="C13" s="18" t="s">
        <v>62</v>
      </c>
      <c r="D13" s="27" t="s">
        <v>55</v>
      </c>
      <c r="E13" s="26" t="s">
        <v>20</v>
      </c>
      <c r="F13" s="5" t="s">
        <v>807</v>
      </c>
      <c r="G13" s="19">
        <v>35000</v>
      </c>
      <c r="H13" s="596" t="s">
        <v>780</v>
      </c>
      <c r="I13" s="603" t="s">
        <v>780</v>
      </c>
      <c r="J13" s="604" t="s">
        <v>790</v>
      </c>
      <c r="K13" s="598" t="s">
        <v>808</v>
      </c>
      <c r="L13" s="613" t="s">
        <v>809</v>
      </c>
      <c r="M13" s="606">
        <v>18000</v>
      </c>
      <c r="N13" s="607"/>
      <c r="O13" s="608"/>
      <c r="P13" s="610" t="s">
        <v>790</v>
      </c>
      <c r="Q13" s="616"/>
    </row>
    <row r="14" spans="1:17" s="16" customFormat="1" ht="30" customHeight="1">
      <c r="A14" s="17" t="s">
        <v>26</v>
      </c>
      <c r="B14" s="28" t="s">
        <v>806</v>
      </c>
      <c r="C14" s="18" t="s">
        <v>6</v>
      </c>
      <c r="D14" s="27" t="s">
        <v>55</v>
      </c>
      <c r="E14" s="24" t="s">
        <v>21</v>
      </c>
      <c r="F14" s="6" t="s">
        <v>810</v>
      </c>
      <c r="G14" s="617">
        <v>30000</v>
      </c>
      <c r="H14" s="596" t="s">
        <v>780</v>
      </c>
      <c r="I14" s="603" t="s">
        <v>780</v>
      </c>
      <c r="J14" s="618" t="s">
        <v>781</v>
      </c>
      <c r="K14" s="598" t="s">
        <v>811</v>
      </c>
      <c r="L14" s="613" t="s">
        <v>812</v>
      </c>
      <c r="M14" s="606">
        <v>59300</v>
      </c>
      <c r="N14" s="607">
        <v>30540</v>
      </c>
      <c r="O14" s="608">
        <f t="shared" ref="O14" si="2">ROUND(N14/M14*100,2)</f>
        <v>51.5</v>
      </c>
      <c r="P14" s="610" t="s">
        <v>781</v>
      </c>
      <c r="Q14" s="616" t="s">
        <v>813</v>
      </c>
    </row>
    <row r="15" spans="1:17" s="16" customFormat="1" ht="30" customHeight="1">
      <c r="A15" s="17" t="s">
        <v>66</v>
      </c>
      <c r="B15" s="28" t="s">
        <v>806</v>
      </c>
      <c r="C15" s="20" t="s">
        <v>63</v>
      </c>
      <c r="D15" s="21" t="s">
        <v>56</v>
      </c>
      <c r="E15" s="26" t="s">
        <v>22</v>
      </c>
      <c r="F15" s="5" t="s">
        <v>814</v>
      </c>
      <c r="G15" s="19">
        <v>10000</v>
      </c>
      <c r="H15" s="596">
        <v>276</v>
      </c>
      <c r="I15" s="603" t="s">
        <v>780</v>
      </c>
      <c r="J15" s="604" t="s">
        <v>781</v>
      </c>
      <c r="K15" s="598" t="s">
        <v>815</v>
      </c>
      <c r="L15" s="613" t="s">
        <v>816</v>
      </c>
      <c r="M15" s="606">
        <v>3200</v>
      </c>
      <c r="N15" s="607">
        <v>369</v>
      </c>
      <c r="O15" s="608"/>
      <c r="P15" s="610" t="s">
        <v>781</v>
      </c>
      <c r="Q15" s="34"/>
    </row>
    <row r="16" spans="1:17" s="16" customFormat="1" ht="30" customHeight="1">
      <c r="A16" s="22" t="s">
        <v>26</v>
      </c>
      <c r="B16" s="28" t="s">
        <v>806</v>
      </c>
      <c r="C16" s="24" t="s">
        <v>63</v>
      </c>
      <c r="D16" s="21" t="s">
        <v>56</v>
      </c>
      <c r="E16" s="26" t="s">
        <v>22</v>
      </c>
      <c r="F16" s="5" t="s">
        <v>814</v>
      </c>
      <c r="G16" s="19">
        <v>10000</v>
      </c>
      <c r="H16" s="596" t="s">
        <v>780</v>
      </c>
      <c r="I16" s="603" t="s">
        <v>780</v>
      </c>
      <c r="J16" s="604" t="s">
        <v>790</v>
      </c>
      <c r="K16" s="598" t="s">
        <v>817</v>
      </c>
      <c r="L16" s="613" t="s">
        <v>818</v>
      </c>
      <c r="M16" s="606">
        <v>10300</v>
      </c>
      <c r="N16" s="607"/>
      <c r="O16" s="608"/>
      <c r="P16" s="610" t="s">
        <v>790</v>
      </c>
      <c r="Q16" s="34"/>
    </row>
    <row r="17" spans="1:17" s="16" customFormat="1" ht="30" customHeight="1">
      <c r="A17" s="17" t="s">
        <v>26</v>
      </c>
      <c r="B17" s="28" t="s">
        <v>806</v>
      </c>
      <c r="C17" s="20" t="s">
        <v>7</v>
      </c>
      <c r="D17" s="21" t="s">
        <v>56</v>
      </c>
      <c r="E17" s="24" t="s">
        <v>23</v>
      </c>
      <c r="F17" s="6" t="s">
        <v>819</v>
      </c>
      <c r="G17" s="15">
        <v>16000</v>
      </c>
      <c r="H17" s="596" t="s">
        <v>780</v>
      </c>
      <c r="I17" s="603" t="s">
        <v>780</v>
      </c>
      <c r="J17" s="604" t="s">
        <v>781</v>
      </c>
      <c r="K17" s="598" t="s">
        <v>820</v>
      </c>
      <c r="L17" s="619"/>
      <c r="M17" s="620"/>
      <c r="N17" s="610"/>
      <c r="O17" s="608"/>
      <c r="P17" s="610"/>
      <c r="Q17" s="34"/>
    </row>
    <row r="18" spans="1:17" s="16" customFormat="1" ht="30" customHeight="1">
      <c r="A18" s="20" t="s">
        <v>61</v>
      </c>
      <c r="B18" s="21" t="s">
        <v>821</v>
      </c>
      <c r="C18" s="18" t="s">
        <v>64</v>
      </c>
      <c r="D18" s="27" t="s">
        <v>57</v>
      </c>
      <c r="E18" s="26" t="s">
        <v>24</v>
      </c>
      <c r="F18" s="5" t="s">
        <v>822</v>
      </c>
      <c r="G18" s="19">
        <v>100000</v>
      </c>
      <c r="H18" s="596" t="s">
        <v>780</v>
      </c>
      <c r="I18" s="603" t="s">
        <v>780</v>
      </c>
      <c r="J18" s="604" t="s">
        <v>790</v>
      </c>
      <c r="K18" s="598" t="s">
        <v>823</v>
      </c>
      <c r="L18" s="619"/>
      <c r="M18" s="620"/>
      <c r="N18" s="610"/>
      <c r="O18" s="608"/>
      <c r="P18" s="610"/>
      <c r="Q18" s="34"/>
    </row>
    <row r="19" spans="1:17" s="16" customFormat="1" ht="30" customHeight="1">
      <c r="A19" s="20" t="s">
        <v>8</v>
      </c>
      <c r="B19" s="21" t="s">
        <v>821</v>
      </c>
      <c r="C19" s="20" t="s">
        <v>65</v>
      </c>
      <c r="D19" s="21" t="s">
        <v>58</v>
      </c>
      <c r="E19" s="24" t="s">
        <v>25</v>
      </c>
      <c r="F19" s="6" t="s">
        <v>824</v>
      </c>
      <c r="G19" s="15">
        <v>24000</v>
      </c>
      <c r="H19" s="596" t="s">
        <v>780</v>
      </c>
      <c r="I19" s="603" t="s">
        <v>780</v>
      </c>
      <c r="J19" s="604" t="s">
        <v>781</v>
      </c>
      <c r="K19" s="598" t="s">
        <v>825</v>
      </c>
      <c r="L19" s="619"/>
      <c r="M19" s="620"/>
      <c r="N19" s="621" t="s">
        <v>780</v>
      </c>
      <c r="O19" s="608"/>
      <c r="P19" s="610"/>
      <c r="Q19" s="34"/>
    </row>
    <row r="20" spans="1:17" ht="34.5" customHeight="1">
      <c r="A20" s="29"/>
      <c r="B20" s="30"/>
      <c r="C20" s="29"/>
      <c r="D20" s="30"/>
      <c r="E20" s="29"/>
      <c r="F20" s="622"/>
      <c r="G20" s="623">
        <f>SUM(G3:G19)</f>
        <v>700000</v>
      </c>
      <c r="H20" s="32">
        <f t="shared" ref="H20:J20" si="3">SUM(H3:H19)</f>
        <v>1226</v>
      </c>
      <c r="I20" s="32">
        <f t="shared" si="3"/>
        <v>0</v>
      </c>
      <c r="J20" s="32">
        <f t="shared" si="3"/>
        <v>0</v>
      </c>
      <c r="K20" s="624"/>
      <c r="L20" s="625" t="s">
        <v>826</v>
      </c>
      <c r="M20" s="626">
        <f>SUM(M3:M19)</f>
        <v>298240</v>
      </c>
      <c r="N20" s="627">
        <f>SUM(N3:N19)</f>
        <v>38445</v>
      </c>
      <c r="O20" s="34">
        <f t="shared" ref="O20" si="4">ROUND(N20/M20*100,2)</f>
        <v>12.89</v>
      </c>
      <c r="P20" s="34"/>
      <c r="Q20" s="312">
        <f>SUM(Q3:Q9)</f>
        <v>0</v>
      </c>
    </row>
    <row r="22" spans="1:17" ht="16.5" customHeight="1">
      <c r="L22" s="628"/>
      <c r="M22" s="629" t="s">
        <v>827</v>
      </c>
      <c r="N22" s="629" t="s">
        <v>828</v>
      </c>
      <c r="P22" s="630"/>
    </row>
    <row r="23" spans="1:17" ht="16.5" customHeight="1">
      <c r="L23" s="631" t="s">
        <v>829</v>
      </c>
      <c r="M23" s="632">
        <v>8100</v>
      </c>
      <c r="N23" s="633">
        <v>3606</v>
      </c>
    </row>
    <row r="24" spans="1:17" ht="16.5" customHeight="1">
      <c r="L24" s="631" t="s">
        <v>830</v>
      </c>
      <c r="M24" s="634">
        <f>SUM(M20:M23)</f>
        <v>306340</v>
      </c>
      <c r="N24" s="634">
        <f>SUM(N23:N23)</f>
        <v>3606</v>
      </c>
    </row>
    <row r="25" spans="1:17" ht="16.5" customHeight="1">
      <c r="L25" s="34" t="s">
        <v>831</v>
      </c>
      <c r="M25" s="635">
        <v>306340684</v>
      </c>
      <c r="N25" s="636"/>
    </row>
    <row r="27" spans="1:17" ht="16.5" customHeight="1">
      <c r="L27" s="637"/>
      <c r="M27" s="638"/>
      <c r="N27" s="78"/>
    </row>
    <row r="28" spans="1:17" ht="16.5" customHeight="1">
      <c r="L28" s="637"/>
      <c r="M28" s="638"/>
      <c r="N28" s="78"/>
    </row>
    <row r="29" spans="1:17" ht="16.5" customHeight="1">
      <c r="C29" s="112"/>
      <c r="D29" s="112"/>
      <c r="E29" s="112"/>
      <c r="F29" s="112"/>
      <c r="L29" s="637"/>
      <c r="M29" s="638"/>
      <c r="N29" s="78"/>
    </row>
    <row r="30" spans="1:17" ht="16.5" customHeight="1">
      <c r="C30" s="112"/>
      <c r="D30" s="112"/>
      <c r="E30" s="112"/>
      <c r="F30" s="112"/>
      <c r="L30" s="637"/>
      <c r="M30" s="638"/>
      <c r="N30" s="78"/>
    </row>
    <row r="31" spans="1:17" ht="16.5" customHeight="1">
      <c r="C31" s="112"/>
      <c r="D31" s="112"/>
      <c r="E31" s="112"/>
      <c r="F31" s="112"/>
    </row>
    <row r="32" spans="1:17" ht="16.5" customHeight="1">
      <c r="C32" s="112"/>
      <c r="D32" s="112"/>
      <c r="E32" s="112"/>
      <c r="F32" s="112"/>
    </row>
    <row r="33" spans="3:6" ht="16.5" customHeight="1">
      <c r="C33" s="112"/>
      <c r="D33" s="112"/>
      <c r="E33" s="112"/>
      <c r="F33" s="112"/>
    </row>
    <row r="34" spans="3:6" ht="16.5" customHeight="1">
      <c r="C34" s="112"/>
      <c r="D34" s="112"/>
      <c r="E34" s="112"/>
      <c r="F34" s="112"/>
    </row>
    <row r="35" spans="3:6" ht="16.5" customHeight="1">
      <c r="C35" s="112"/>
      <c r="D35" s="112"/>
      <c r="E35" s="112"/>
      <c r="F35" s="112"/>
    </row>
    <row r="36" spans="3:6" ht="16.5" customHeight="1">
      <c r="C36" s="112"/>
      <c r="D36" s="112"/>
      <c r="E36" s="112"/>
      <c r="F36" s="112"/>
    </row>
    <row r="37" spans="3:6" ht="16.5" customHeight="1">
      <c r="C37" s="112"/>
      <c r="D37" s="112"/>
      <c r="E37" s="112"/>
      <c r="F37" s="112"/>
    </row>
    <row r="38" spans="3:6" ht="16.5" customHeight="1">
      <c r="C38" s="112"/>
      <c r="D38" s="112"/>
      <c r="E38" s="112"/>
      <c r="F38" s="112"/>
    </row>
    <row r="39" spans="3:6" ht="16.5" customHeight="1">
      <c r="C39" s="112"/>
      <c r="D39" s="112"/>
      <c r="E39" s="112"/>
      <c r="F39" s="112"/>
    </row>
    <row r="40" spans="3:6" ht="16.5" customHeight="1">
      <c r="C40" s="112"/>
      <c r="D40" s="112"/>
      <c r="E40" s="112"/>
      <c r="F40" s="112"/>
    </row>
    <row r="41" spans="3:6" ht="16.5" customHeight="1">
      <c r="C41" s="112"/>
      <c r="D41" s="112"/>
      <c r="E41" s="112"/>
      <c r="F41" s="112"/>
    </row>
    <row r="42" spans="3:6" ht="16.5" customHeight="1">
      <c r="C42" s="112"/>
      <c r="D42" s="112"/>
      <c r="E42" s="112"/>
      <c r="F42" s="112"/>
    </row>
    <row r="43" spans="3:6" ht="16.5" customHeight="1">
      <c r="C43" s="112"/>
      <c r="D43" s="112"/>
      <c r="E43" s="112"/>
      <c r="F43" s="112"/>
    </row>
    <row r="44" spans="3:6" ht="16.5" customHeight="1">
      <c r="C44" s="112"/>
      <c r="D44" s="112"/>
      <c r="E44" s="112"/>
      <c r="F44" s="112"/>
    </row>
    <row r="45" spans="3:6" ht="16.5" customHeight="1">
      <c r="C45" s="112"/>
      <c r="D45" s="112"/>
      <c r="E45" s="112"/>
      <c r="F45" s="112"/>
    </row>
    <row r="46" spans="3:6" ht="16.5" customHeight="1">
      <c r="C46" s="112"/>
      <c r="D46" s="112"/>
      <c r="E46" s="112"/>
      <c r="F46" s="112"/>
    </row>
    <row r="47" spans="3:6" ht="16.5" customHeight="1">
      <c r="C47" s="112"/>
      <c r="D47" s="112"/>
      <c r="E47" s="112"/>
      <c r="F47" s="112"/>
    </row>
    <row r="48" spans="3:6" ht="16.5" customHeight="1">
      <c r="C48" s="112"/>
      <c r="D48" s="112"/>
      <c r="E48" s="112"/>
      <c r="F48" s="112"/>
    </row>
    <row r="49" spans="3:6" ht="16.5" customHeight="1">
      <c r="C49" s="112"/>
      <c r="D49" s="112"/>
      <c r="E49" s="112"/>
      <c r="F49" s="112"/>
    </row>
  </sheetData>
  <mergeCells count="2">
    <mergeCell ref="G1:J1"/>
    <mergeCell ref="L1:P1"/>
  </mergeCells>
  <pageMargins left="0.7" right="0.7" top="0.75" bottom="0.75" header="0.3" footer="0.3"/>
  <pageSetup paperSize="8" scale="44" fitToHeight="0" orientation="landscape" r:id="rId1"/>
  <rowBreaks count="1" manualBreakCount="1">
    <brk id="20" max="16383" man="1"/>
  </rowBreaks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3C3C-FB4A-9045-A0C3-5DF08138186D}">
  <dimension ref="A1:T229"/>
  <sheetViews>
    <sheetView zoomScale="70" zoomScaleNormal="70" workbookViewId="0">
      <selection activeCell="J24" sqref="J24"/>
    </sheetView>
  </sheetViews>
  <sheetFormatPr baseColWidth="10" defaultColWidth="9" defaultRowHeight="15"/>
  <cols>
    <col min="1" max="1" width="8.83203125" style="580" customWidth="1"/>
    <col min="2" max="2" width="33.83203125" style="580" bestFit="1" customWidth="1"/>
    <col min="3" max="3" width="8.83203125" style="580" customWidth="1"/>
    <col min="4" max="4" width="32.1640625" style="580" bestFit="1" customWidth="1"/>
    <col min="5" max="5" width="8.83203125" style="580" customWidth="1"/>
    <col min="6" max="6" width="43.5" style="580" customWidth="1"/>
    <col min="7" max="7" width="8.83203125" style="580" customWidth="1"/>
    <col min="8" max="8" width="42.33203125" style="773" customWidth="1"/>
    <col min="9" max="9" width="17.1640625" style="583" bestFit="1" customWidth="1"/>
    <col min="10" max="10" width="14.33203125" style="583" customWidth="1"/>
    <col min="11" max="11" width="13.83203125" style="583" customWidth="1"/>
    <col min="12" max="12" width="8.1640625" style="580" customWidth="1"/>
    <col min="13" max="13" width="2.6640625" style="580" hidden="1" customWidth="1"/>
    <col min="14" max="14" width="41.5" style="580" customWidth="1"/>
    <col min="15" max="16" width="15.5" style="580" customWidth="1"/>
    <col min="17" max="17" width="13.83203125" style="580" customWidth="1"/>
    <col min="18" max="18" width="9.1640625" style="580" customWidth="1"/>
    <col min="19" max="19" width="15.6640625" style="580" customWidth="1"/>
    <col min="20" max="20" width="11.5" style="580" customWidth="1"/>
    <col min="21" max="22" width="9" style="580"/>
    <col min="23" max="23" width="11.33203125" style="580" bestFit="1" customWidth="1"/>
    <col min="24" max="16384" width="9" style="580"/>
  </cols>
  <sheetData>
    <row r="1" spans="1:19" ht="55" customHeight="1">
      <c r="A1" s="486" t="s">
        <v>832</v>
      </c>
      <c r="B1" s="487" t="s">
        <v>833</v>
      </c>
      <c r="C1" s="488" t="s">
        <v>705</v>
      </c>
      <c r="D1" s="487" t="s">
        <v>834</v>
      </c>
      <c r="E1" s="489" t="s">
        <v>707</v>
      </c>
      <c r="F1" s="487" t="s">
        <v>835</v>
      </c>
      <c r="G1" s="490" t="s">
        <v>709</v>
      </c>
      <c r="H1" s="490"/>
      <c r="I1" s="490"/>
      <c r="J1" s="490"/>
      <c r="K1" s="490"/>
      <c r="L1" s="490"/>
      <c r="M1" s="639"/>
      <c r="N1" s="640" t="s">
        <v>710</v>
      </c>
      <c r="O1" s="641"/>
      <c r="P1" s="641"/>
      <c r="Q1" s="641"/>
      <c r="R1" s="641"/>
      <c r="S1" s="639"/>
    </row>
    <row r="2" spans="1:19" ht="58.5" customHeight="1">
      <c r="A2" s="642" t="s">
        <v>27</v>
      </c>
      <c r="B2" s="643" t="s">
        <v>836</v>
      </c>
      <c r="C2" s="644" t="s">
        <v>28</v>
      </c>
      <c r="D2" s="644" t="s">
        <v>837</v>
      </c>
      <c r="E2" s="645" t="s">
        <v>29</v>
      </c>
      <c r="F2" s="645" t="s">
        <v>838</v>
      </c>
      <c r="G2" s="646" t="s">
        <v>839</v>
      </c>
      <c r="H2" s="647" t="s">
        <v>840</v>
      </c>
      <c r="I2" s="648" t="s">
        <v>841</v>
      </c>
      <c r="J2" s="648" t="s">
        <v>842</v>
      </c>
      <c r="K2" s="648" t="s">
        <v>843</v>
      </c>
      <c r="L2" s="646" t="s">
        <v>844</v>
      </c>
      <c r="M2" s="649"/>
      <c r="N2" s="650" t="s">
        <v>840</v>
      </c>
      <c r="O2" s="650" t="s">
        <v>841</v>
      </c>
      <c r="P2" s="650" t="s">
        <v>845</v>
      </c>
      <c r="Q2" s="650" t="s">
        <v>846</v>
      </c>
      <c r="R2" s="651" t="s">
        <v>35</v>
      </c>
      <c r="S2" s="652" t="s">
        <v>847</v>
      </c>
    </row>
    <row r="3" spans="1:19" s="667" customFormat="1" ht="32">
      <c r="A3" s="653" t="s">
        <v>2</v>
      </c>
      <c r="B3" s="654" t="s">
        <v>848</v>
      </c>
      <c r="C3" s="655" t="s">
        <v>3</v>
      </c>
      <c r="D3" s="655" t="s">
        <v>849</v>
      </c>
      <c r="E3" s="656" t="s">
        <v>139</v>
      </c>
      <c r="F3" s="656" t="s">
        <v>850</v>
      </c>
      <c r="G3" s="657" t="s">
        <v>36</v>
      </c>
      <c r="H3" s="657" t="s">
        <v>851</v>
      </c>
      <c r="I3" s="658">
        <v>5000</v>
      </c>
      <c r="J3" s="658"/>
      <c r="K3" s="659">
        <f>IFERROR(ROUND(Table_C1842[[#This Row],[기준일 현재 
집행액
(천원)]]/Table_C1842[[#This Row],[사업비 예산
(천원)]]*100,2),"")</f>
        <v>0</v>
      </c>
      <c r="L3" s="660" t="s">
        <v>852</v>
      </c>
      <c r="M3" s="661"/>
      <c r="N3" s="662" t="s">
        <v>851</v>
      </c>
      <c r="O3" s="663"/>
      <c r="P3" s="664"/>
      <c r="Q3" s="665" t="str">
        <f>IFERROR(ROUND(P3/O3*100,2),"")</f>
        <v/>
      </c>
      <c r="R3" s="660" t="s">
        <v>852</v>
      </c>
      <c r="S3" s="666">
        <v>11676</v>
      </c>
    </row>
    <row r="4" spans="1:19" s="667" customFormat="1" ht="32">
      <c r="A4" s="653" t="s">
        <v>2</v>
      </c>
      <c r="B4" s="654" t="s">
        <v>848</v>
      </c>
      <c r="C4" s="655" t="s">
        <v>3</v>
      </c>
      <c r="D4" s="655" t="s">
        <v>849</v>
      </c>
      <c r="E4" s="656" t="s">
        <v>139</v>
      </c>
      <c r="F4" s="656" t="s">
        <v>850</v>
      </c>
      <c r="G4" s="668" t="s">
        <v>37</v>
      </c>
      <c r="H4" s="668" t="s">
        <v>853</v>
      </c>
      <c r="I4" s="669">
        <v>15000</v>
      </c>
      <c r="J4" s="669"/>
      <c r="K4" s="670">
        <f>IFERROR(ROUND(Table_C1842[[#This Row],[기준일 현재 
집행액
(천원)]]/Table_C1842[[#This Row],[사업비 예산
(천원)]]*100,2),"")</f>
        <v>0</v>
      </c>
      <c r="L4" s="258" t="s">
        <v>852</v>
      </c>
      <c r="M4" s="661"/>
      <c r="N4" s="671" t="s">
        <v>854</v>
      </c>
      <c r="O4" s="672"/>
      <c r="P4" s="673"/>
      <c r="Q4" s="674" t="str">
        <f t="shared" ref="Q4:Q23" si="0">IFERROR(ROUND(P4/O4*100,2),"")</f>
        <v/>
      </c>
      <c r="R4" s="258" t="s">
        <v>852</v>
      </c>
      <c r="S4" s="675">
        <v>7845</v>
      </c>
    </row>
    <row r="5" spans="1:19" s="667" customFormat="1" ht="32">
      <c r="A5" s="653" t="s">
        <v>2</v>
      </c>
      <c r="B5" s="654" t="s">
        <v>848</v>
      </c>
      <c r="C5" s="655" t="s">
        <v>3</v>
      </c>
      <c r="D5" s="655" t="s">
        <v>849</v>
      </c>
      <c r="E5" s="656" t="s">
        <v>139</v>
      </c>
      <c r="F5" s="656" t="s">
        <v>850</v>
      </c>
      <c r="G5" s="668" t="s">
        <v>37</v>
      </c>
      <c r="H5" s="668" t="s">
        <v>106</v>
      </c>
      <c r="I5" s="676" t="s">
        <v>106</v>
      </c>
      <c r="J5" s="676"/>
      <c r="K5" s="670" t="str">
        <f>IFERROR(ROUND(Table_C1842[[#This Row],[기준일 현재 
집행액
(천원)]]/Table_C1842[[#This Row],[사업비 예산
(천원)]]*100,2),"")</f>
        <v/>
      </c>
      <c r="L5" s="258"/>
      <c r="M5" s="661"/>
      <c r="N5" s="534" t="s">
        <v>855</v>
      </c>
      <c r="O5" s="672">
        <v>55000</v>
      </c>
      <c r="P5" s="673"/>
      <c r="Q5" s="674">
        <f t="shared" si="0"/>
        <v>0</v>
      </c>
      <c r="R5" s="258" t="s">
        <v>852</v>
      </c>
      <c r="S5" s="675">
        <v>5910</v>
      </c>
    </row>
    <row r="6" spans="1:19" s="667" customFormat="1" ht="32">
      <c r="A6" s="653" t="s">
        <v>2</v>
      </c>
      <c r="B6" s="654" t="s">
        <v>848</v>
      </c>
      <c r="C6" s="655" t="s">
        <v>3</v>
      </c>
      <c r="D6" s="655" t="s">
        <v>849</v>
      </c>
      <c r="E6" s="656" t="s">
        <v>139</v>
      </c>
      <c r="F6" s="656" t="s">
        <v>850</v>
      </c>
      <c r="G6" s="657" t="s">
        <v>38</v>
      </c>
      <c r="H6" s="657" t="s">
        <v>106</v>
      </c>
      <c r="I6" s="677" t="s">
        <v>106</v>
      </c>
      <c r="J6" s="677"/>
      <c r="K6" s="659" t="str">
        <f>IFERROR(ROUND(Table_C1842[[#This Row],[기준일 현재 
집행액
(천원)]]/Table_C1842[[#This Row],[사업비 예산
(천원)]]*100,2),"")</f>
        <v/>
      </c>
      <c r="L6" s="678"/>
      <c r="M6" s="661"/>
      <c r="N6" s="662" t="s">
        <v>856</v>
      </c>
      <c r="O6" s="679"/>
      <c r="P6" s="664"/>
      <c r="Q6" s="665" t="str">
        <f t="shared" si="0"/>
        <v/>
      </c>
      <c r="R6" s="660" t="s">
        <v>852</v>
      </c>
      <c r="S6" s="680">
        <v>8814</v>
      </c>
    </row>
    <row r="7" spans="1:19" ht="32">
      <c r="A7" s="653" t="s">
        <v>2</v>
      </c>
      <c r="B7" s="654" t="s">
        <v>848</v>
      </c>
      <c r="C7" s="655" t="s">
        <v>3</v>
      </c>
      <c r="D7" s="655" t="s">
        <v>849</v>
      </c>
      <c r="E7" s="681" t="s">
        <v>119</v>
      </c>
      <c r="F7" s="681" t="s">
        <v>857</v>
      </c>
      <c r="G7" s="682" t="s">
        <v>197</v>
      </c>
      <c r="H7" s="682" t="s">
        <v>858</v>
      </c>
      <c r="I7" s="683">
        <v>6000</v>
      </c>
      <c r="J7" s="683"/>
      <c r="K7" s="659">
        <f>IFERROR(ROUND(Table_C1842[[#This Row],[기준일 현재 
집행액
(천원)]]/Table_C1842[[#This Row],[사업비 예산
(천원)]]*100,2),"")</f>
        <v>0</v>
      </c>
      <c r="L7" s="678" t="s">
        <v>852</v>
      </c>
      <c r="N7" s="684" t="s">
        <v>858</v>
      </c>
      <c r="O7" s="679"/>
      <c r="P7" s="664"/>
      <c r="Q7" s="665" t="str">
        <f t="shared" si="0"/>
        <v/>
      </c>
      <c r="R7" s="660" t="s">
        <v>852</v>
      </c>
      <c r="S7" s="680">
        <v>4007</v>
      </c>
    </row>
    <row r="8" spans="1:19" ht="32">
      <c r="A8" s="653" t="s">
        <v>2</v>
      </c>
      <c r="B8" s="654" t="s">
        <v>848</v>
      </c>
      <c r="C8" s="655" t="s">
        <v>3</v>
      </c>
      <c r="D8" s="655" t="s">
        <v>849</v>
      </c>
      <c r="E8" s="681" t="s">
        <v>119</v>
      </c>
      <c r="F8" s="681" t="s">
        <v>857</v>
      </c>
      <c r="G8" s="668" t="s">
        <v>859</v>
      </c>
      <c r="H8" s="668" t="s">
        <v>860</v>
      </c>
      <c r="I8" s="669">
        <v>6000</v>
      </c>
      <c r="J8" s="669"/>
      <c r="K8" s="670">
        <f>IFERROR(ROUND(Table_C1842[[#This Row],[기준일 현재 
집행액
(천원)]]/Table_C1842[[#This Row],[사업비 예산
(천원)]]*100,2),"")</f>
        <v>0</v>
      </c>
      <c r="L8" s="258" t="s">
        <v>852</v>
      </c>
      <c r="N8" s="685"/>
      <c r="O8" s="672"/>
      <c r="P8" s="673"/>
      <c r="Q8" s="674" t="str">
        <f t="shared" si="0"/>
        <v/>
      </c>
      <c r="R8" s="258" t="s">
        <v>852</v>
      </c>
      <c r="S8" s="686" t="s">
        <v>106</v>
      </c>
    </row>
    <row r="9" spans="1:19" ht="32">
      <c r="A9" s="653" t="s">
        <v>2</v>
      </c>
      <c r="B9" s="654" t="s">
        <v>848</v>
      </c>
      <c r="C9" s="655" t="s">
        <v>3</v>
      </c>
      <c r="D9" s="655" t="s">
        <v>849</v>
      </c>
      <c r="E9" s="681" t="s">
        <v>119</v>
      </c>
      <c r="F9" s="681" t="s">
        <v>857</v>
      </c>
      <c r="G9" s="682" t="s">
        <v>861</v>
      </c>
      <c r="H9" s="687" t="s">
        <v>862</v>
      </c>
      <c r="I9" s="683">
        <v>2000</v>
      </c>
      <c r="J9" s="683"/>
      <c r="K9" s="659">
        <f>IFERROR(ROUND(Table_C1842[[#This Row],[기준일 현재 
집행액
(천원)]]/Table_C1842[[#This Row],[사업비 예산
(천원)]]*100,2),"")</f>
        <v>0</v>
      </c>
      <c r="L9" s="678" t="s">
        <v>852</v>
      </c>
      <c r="N9" s="688" t="s">
        <v>862</v>
      </c>
      <c r="O9" s="679"/>
      <c r="P9" s="664"/>
      <c r="Q9" s="665" t="str">
        <f t="shared" si="0"/>
        <v/>
      </c>
      <c r="R9" s="660" t="s">
        <v>852</v>
      </c>
      <c r="S9" s="680">
        <v>19500</v>
      </c>
    </row>
    <row r="10" spans="1:19" ht="32">
      <c r="A10" s="653" t="s">
        <v>2</v>
      </c>
      <c r="B10" s="654" t="s">
        <v>848</v>
      </c>
      <c r="C10" s="681" t="s">
        <v>4</v>
      </c>
      <c r="D10" s="681" t="s">
        <v>863</v>
      </c>
      <c r="E10" s="689" t="s">
        <v>120</v>
      </c>
      <c r="F10" s="689" t="s">
        <v>864</v>
      </c>
      <c r="G10" s="668" t="s">
        <v>202</v>
      </c>
      <c r="H10" s="690" t="s">
        <v>865</v>
      </c>
      <c r="I10" s="669">
        <v>5000</v>
      </c>
      <c r="J10" s="669"/>
      <c r="K10" s="670">
        <f>IFERROR(ROUND(Table_C1842[[#This Row],[기준일 현재 
집행액
(천원)]]/Table_C1842[[#This Row],[사업비 예산
(천원)]]*100,2),"")</f>
        <v>0</v>
      </c>
      <c r="L10" s="258" t="s">
        <v>852</v>
      </c>
      <c r="N10" s="691" t="s">
        <v>865</v>
      </c>
      <c r="O10" s="692"/>
      <c r="P10" s="673"/>
      <c r="Q10" s="674" t="str">
        <f t="shared" si="0"/>
        <v/>
      </c>
      <c r="R10" s="258" t="s">
        <v>852</v>
      </c>
      <c r="S10" s="693">
        <v>6360</v>
      </c>
    </row>
    <row r="11" spans="1:19" ht="32">
      <c r="A11" s="653" t="s">
        <v>2</v>
      </c>
      <c r="B11" s="654" t="s">
        <v>848</v>
      </c>
      <c r="C11" s="681" t="s">
        <v>4</v>
      </c>
      <c r="D11" s="681" t="s">
        <v>863</v>
      </c>
      <c r="E11" s="689" t="s">
        <v>120</v>
      </c>
      <c r="F11" s="689" t="s">
        <v>864</v>
      </c>
      <c r="G11" s="682" t="s">
        <v>866</v>
      </c>
      <c r="H11" s="687" t="s">
        <v>867</v>
      </c>
      <c r="I11" s="683">
        <v>24000</v>
      </c>
      <c r="J11" s="683">
        <v>283</v>
      </c>
      <c r="K11" s="659">
        <f>IFERROR(ROUND(Table_C1842[[#This Row],[기준일 현재 
집행액
(천원)]]/Table_C1842[[#This Row],[사업비 예산
(천원)]]*100,2),"")</f>
        <v>1.18</v>
      </c>
      <c r="L11" s="678" t="s">
        <v>852</v>
      </c>
      <c r="N11" s="694" t="s">
        <v>868</v>
      </c>
      <c r="O11" s="695">
        <v>24000</v>
      </c>
      <c r="P11" s="664">
        <v>100</v>
      </c>
      <c r="Q11" s="665">
        <f t="shared" si="0"/>
        <v>0.42</v>
      </c>
      <c r="R11" s="660" t="s">
        <v>852</v>
      </c>
      <c r="S11" s="696" t="s">
        <v>106</v>
      </c>
    </row>
    <row r="12" spans="1:19" ht="32">
      <c r="A12" s="653" t="s">
        <v>2</v>
      </c>
      <c r="B12" s="654" t="s">
        <v>848</v>
      </c>
      <c r="C12" s="681" t="s">
        <v>4</v>
      </c>
      <c r="D12" s="681" t="s">
        <v>863</v>
      </c>
      <c r="E12" s="690" t="s">
        <v>121</v>
      </c>
      <c r="F12" s="690" t="s">
        <v>869</v>
      </c>
      <c r="G12" s="668" t="s">
        <v>272</v>
      </c>
      <c r="H12" s="690" t="s">
        <v>870</v>
      </c>
      <c r="I12" s="669">
        <v>5000</v>
      </c>
      <c r="J12" s="669"/>
      <c r="K12" s="670">
        <f>IFERROR(ROUND(Table_C1842[[#This Row],[기준일 현재 
집행액
(천원)]]/Table_C1842[[#This Row],[사업비 예산
(천원)]]*100,2),"")</f>
        <v>0</v>
      </c>
      <c r="L12" s="258" t="s">
        <v>852</v>
      </c>
      <c r="N12" s="686" t="s">
        <v>871</v>
      </c>
      <c r="O12" s="692"/>
      <c r="P12" s="673"/>
      <c r="Q12" s="674" t="str">
        <f t="shared" si="0"/>
        <v/>
      </c>
      <c r="R12" s="258" t="s">
        <v>852</v>
      </c>
      <c r="S12" s="693">
        <v>10278</v>
      </c>
    </row>
    <row r="13" spans="1:19" ht="32">
      <c r="A13" s="653" t="s">
        <v>2</v>
      </c>
      <c r="B13" s="654" t="s">
        <v>848</v>
      </c>
      <c r="C13" s="681" t="s">
        <v>4</v>
      </c>
      <c r="D13" s="681" t="s">
        <v>863</v>
      </c>
      <c r="E13" s="690" t="s">
        <v>121</v>
      </c>
      <c r="F13" s="690" t="s">
        <v>869</v>
      </c>
      <c r="G13" s="682" t="s">
        <v>872</v>
      </c>
      <c r="H13" s="687" t="s">
        <v>873</v>
      </c>
      <c r="I13" s="683">
        <v>5000</v>
      </c>
      <c r="J13" s="683"/>
      <c r="K13" s="659">
        <f>IFERROR(ROUND(Table_C1842[[#This Row],[기준일 현재 
집행액
(천원)]]/Table_C1842[[#This Row],[사업비 예산
(천원)]]*100,2),"")</f>
        <v>0</v>
      </c>
      <c r="L13" s="678" t="s">
        <v>852</v>
      </c>
      <c r="N13" s="697" t="s">
        <v>873</v>
      </c>
      <c r="O13" s="695"/>
      <c r="P13" s="664"/>
      <c r="Q13" s="665" t="str">
        <f t="shared" si="0"/>
        <v/>
      </c>
      <c r="R13" s="660" t="s">
        <v>852</v>
      </c>
      <c r="S13" s="698">
        <v>5075</v>
      </c>
    </row>
    <row r="14" spans="1:19" ht="34">
      <c r="A14" s="699" t="s">
        <v>5</v>
      </c>
      <c r="B14" s="681" t="s">
        <v>874</v>
      </c>
      <c r="C14" s="700" t="s">
        <v>108</v>
      </c>
      <c r="D14" s="655" t="s">
        <v>875</v>
      </c>
      <c r="E14" s="701" t="s">
        <v>122</v>
      </c>
      <c r="F14" s="701" t="s">
        <v>876</v>
      </c>
      <c r="G14" s="668" t="s">
        <v>212</v>
      </c>
      <c r="H14" s="690" t="s">
        <v>877</v>
      </c>
      <c r="I14" s="669">
        <v>5000</v>
      </c>
      <c r="J14" s="669"/>
      <c r="K14" s="670">
        <f>IFERROR(ROUND(Table_C1842[[#This Row],[기준일 현재 
집행액
(천원)]]/Table_C1842[[#This Row],[사업비 예산
(천원)]]*100,2),"")</f>
        <v>0</v>
      </c>
      <c r="L14" s="702" t="s">
        <v>852</v>
      </c>
      <c r="N14" s="535" t="s">
        <v>878</v>
      </c>
      <c r="O14" s="692">
        <v>17700</v>
      </c>
      <c r="P14" s="673">
        <v>8353</v>
      </c>
      <c r="Q14" s="674">
        <f t="shared" si="0"/>
        <v>47.19</v>
      </c>
      <c r="R14" s="703" t="s">
        <v>852</v>
      </c>
      <c r="S14" s="693">
        <v>1429</v>
      </c>
    </row>
    <row r="15" spans="1:19" ht="34">
      <c r="A15" s="699" t="s">
        <v>5</v>
      </c>
      <c r="B15" s="681" t="s">
        <v>874</v>
      </c>
      <c r="C15" s="700" t="s">
        <v>108</v>
      </c>
      <c r="D15" s="655" t="s">
        <v>875</v>
      </c>
      <c r="E15" s="701" t="s">
        <v>122</v>
      </c>
      <c r="F15" s="701" t="s">
        <v>876</v>
      </c>
      <c r="G15" s="682" t="s">
        <v>740</v>
      </c>
      <c r="H15" s="687" t="s">
        <v>106</v>
      </c>
      <c r="I15" s="704" t="s">
        <v>106</v>
      </c>
      <c r="J15" s="704"/>
      <c r="K15" s="659" t="str">
        <f>IFERROR(ROUND(Table_C1842[[#This Row],[기준일 현재 
집행액
(천원)]]/Table_C1842[[#This Row],[사업비 예산
(천원)]]*100,2),"")</f>
        <v/>
      </c>
      <c r="L15" s="678"/>
      <c r="N15" s="705" t="s">
        <v>879</v>
      </c>
      <c r="O15" s="679"/>
      <c r="P15" s="664"/>
      <c r="Q15" s="665" t="str">
        <f t="shared" si="0"/>
        <v/>
      </c>
      <c r="R15" s="660" t="s">
        <v>852</v>
      </c>
      <c r="S15" s="706">
        <v>3438</v>
      </c>
    </row>
    <row r="16" spans="1:19" ht="34">
      <c r="A16" s="699" t="s">
        <v>5</v>
      </c>
      <c r="B16" s="681" t="s">
        <v>874</v>
      </c>
      <c r="C16" s="700" t="s">
        <v>108</v>
      </c>
      <c r="D16" s="655" t="s">
        <v>875</v>
      </c>
      <c r="E16" s="690" t="s">
        <v>123</v>
      </c>
      <c r="F16" s="690" t="s">
        <v>880</v>
      </c>
      <c r="G16" s="668" t="s">
        <v>318</v>
      </c>
      <c r="H16" s="690" t="s">
        <v>881</v>
      </c>
      <c r="I16" s="669">
        <v>40000</v>
      </c>
      <c r="J16" s="669"/>
      <c r="K16" s="670">
        <f>IFERROR(ROUND(Table_C1842[[#This Row],[기준일 현재 
집행액
(천원)]]/Table_C1842[[#This Row],[사업비 예산
(천원)]]*100,2),"")</f>
        <v>0</v>
      </c>
      <c r="L16" s="707" t="s">
        <v>852</v>
      </c>
      <c r="N16" s="708" t="s">
        <v>881</v>
      </c>
      <c r="O16" s="672"/>
      <c r="P16" s="673"/>
      <c r="Q16" s="674" t="str">
        <f t="shared" si="0"/>
        <v/>
      </c>
      <c r="R16" s="258" t="s">
        <v>852</v>
      </c>
      <c r="S16" s="686" t="s">
        <v>106</v>
      </c>
    </row>
    <row r="17" spans="1:20" ht="32">
      <c r="A17" s="699" t="s">
        <v>5</v>
      </c>
      <c r="B17" s="681" t="s">
        <v>874</v>
      </c>
      <c r="C17" s="690" t="s">
        <v>109</v>
      </c>
      <c r="D17" s="690" t="s">
        <v>882</v>
      </c>
      <c r="E17" s="701" t="s">
        <v>124</v>
      </c>
      <c r="F17" s="701" t="s">
        <v>883</v>
      </c>
      <c r="G17" s="709" t="s">
        <v>218</v>
      </c>
      <c r="H17" s="710" t="s">
        <v>884</v>
      </c>
      <c r="I17" s="711">
        <v>12000</v>
      </c>
      <c r="J17" s="711"/>
      <c r="K17" s="659">
        <f>IFERROR(ROUND(Table_C1842[[#This Row],[기준일 현재 
집행액
(천원)]]/Table_C1842[[#This Row],[사업비 예산
(천원)]]*100,2),"")</f>
        <v>0</v>
      </c>
      <c r="L17" s="660" t="s">
        <v>852</v>
      </c>
      <c r="M17" s="712"/>
      <c r="N17" s="713" t="s">
        <v>885</v>
      </c>
      <c r="O17" s="714">
        <v>15000</v>
      </c>
      <c r="P17" s="664">
        <v>6123</v>
      </c>
      <c r="Q17" s="665">
        <f t="shared" si="0"/>
        <v>40.82</v>
      </c>
      <c r="R17" s="660" t="s">
        <v>852</v>
      </c>
      <c r="S17" s="715">
        <v>13585</v>
      </c>
    </row>
    <row r="18" spans="1:20" ht="32">
      <c r="A18" s="699" t="s">
        <v>5</v>
      </c>
      <c r="B18" s="681" t="s">
        <v>874</v>
      </c>
      <c r="C18" s="690" t="s">
        <v>109</v>
      </c>
      <c r="D18" s="690" t="s">
        <v>882</v>
      </c>
      <c r="E18" s="690" t="s">
        <v>125</v>
      </c>
      <c r="F18" s="690" t="s">
        <v>886</v>
      </c>
      <c r="G18" s="716" t="s">
        <v>229</v>
      </c>
      <c r="H18" s="717" t="s">
        <v>887</v>
      </c>
      <c r="I18" s="718">
        <v>50000</v>
      </c>
      <c r="J18" s="718"/>
      <c r="K18" s="670">
        <f>IFERROR(ROUND(Table_C1842[[#This Row],[기준일 현재 
집행액
(천원)]]/Table_C1842[[#This Row],[사업비 예산
(천원)]]*100,2),"")</f>
        <v>0</v>
      </c>
      <c r="L18" s="719" t="s">
        <v>852</v>
      </c>
      <c r="M18" s="667"/>
      <c r="N18" s="720" t="s">
        <v>106</v>
      </c>
      <c r="O18" s="721"/>
      <c r="P18" s="673"/>
      <c r="Q18" s="674" t="str">
        <f t="shared" si="0"/>
        <v/>
      </c>
      <c r="R18" s="258"/>
      <c r="S18" s="722" t="s">
        <v>106</v>
      </c>
    </row>
    <row r="19" spans="1:20" ht="32">
      <c r="A19" s="699" t="s">
        <v>5</v>
      </c>
      <c r="B19" s="681" t="s">
        <v>874</v>
      </c>
      <c r="C19" s="690" t="s">
        <v>109</v>
      </c>
      <c r="D19" s="690" t="s">
        <v>882</v>
      </c>
      <c r="E19" s="690" t="s">
        <v>125</v>
      </c>
      <c r="F19" s="690" t="s">
        <v>886</v>
      </c>
      <c r="G19" s="709" t="s">
        <v>888</v>
      </c>
      <c r="H19" s="710" t="s">
        <v>889</v>
      </c>
      <c r="I19" s="711">
        <v>5000</v>
      </c>
      <c r="J19" s="711"/>
      <c r="K19" s="659">
        <f>IFERROR(ROUND(Table_C1842[[#This Row],[기준일 현재 
집행액
(천원)]]/Table_C1842[[#This Row],[사업비 예산
(천원)]]*100,2),"")</f>
        <v>0</v>
      </c>
      <c r="L19" s="660" t="s">
        <v>852</v>
      </c>
      <c r="M19" s="712"/>
      <c r="N19" s="723" t="s">
        <v>890</v>
      </c>
      <c r="O19" s="724"/>
      <c r="P19" s="664"/>
      <c r="Q19" s="665" t="str">
        <f t="shared" si="0"/>
        <v/>
      </c>
      <c r="R19" s="660" t="s">
        <v>852</v>
      </c>
      <c r="S19" s="725">
        <v>6204</v>
      </c>
    </row>
    <row r="20" spans="1:20" ht="32">
      <c r="A20" s="699" t="s">
        <v>5</v>
      </c>
      <c r="B20" s="681" t="s">
        <v>874</v>
      </c>
      <c r="C20" s="690" t="s">
        <v>109</v>
      </c>
      <c r="D20" s="690" t="s">
        <v>882</v>
      </c>
      <c r="E20" s="690" t="s">
        <v>125</v>
      </c>
      <c r="F20" s="690" t="s">
        <v>886</v>
      </c>
      <c r="G20" s="716" t="s">
        <v>891</v>
      </c>
      <c r="H20" s="717" t="s">
        <v>892</v>
      </c>
      <c r="I20" s="718">
        <v>5000</v>
      </c>
      <c r="J20" s="718"/>
      <c r="K20" s="670">
        <f>IFERROR(ROUND(Table_C1842[[#This Row],[기준일 현재 
집행액
(천원)]]/Table_C1842[[#This Row],[사업비 예산
(천원)]]*100,2),"")</f>
        <v>0</v>
      </c>
      <c r="L20" s="719" t="s">
        <v>852</v>
      </c>
      <c r="M20" s="667"/>
      <c r="N20" s="720" t="s">
        <v>106</v>
      </c>
      <c r="O20" s="721"/>
      <c r="P20" s="673"/>
      <c r="Q20" s="674" t="str">
        <f t="shared" si="0"/>
        <v/>
      </c>
      <c r="R20" s="258"/>
      <c r="S20" s="722" t="s">
        <v>106</v>
      </c>
    </row>
    <row r="21" spans="1:20" s="667" customFormat="1" ht="36" customHeight="1">
      <c r="A21" s="726"/>
      <c r="B21" s="727"/>
      <c r="C21" s="726"/>
      <c r="D21" s="727"/>
      <c r="E21" s="728"/>
      <c r="F21" s="729"/>
      <c r="G21" s="730"/>
      <c r="H21" s="731"/>
      <c r="I21" s="732"/>
      <c r="J21" s="733"/>
      <c r="K21" s="670" t="str">
        <f>IFERROR(ROUND(Table_C1842[[#This Row],[기준일 현재 
집행액
(천원)]]/Table_C1842[[#This Row],[사업비 예산
(천원)]]*100,2),"")</f>
        <v/>
      </c>
      <c r="L21" s="258"/>
      <c r="N21" s="734" t="s">
        <v>893</v>
      </c>
      <c r="O21" s="735"/>
      <c r="P21" s="673"/>
      <c r="Q21" s="674" t="str">
        <f t="shared" si="0"/>
        <v/>
      </c>
      <c r="R21" s="258" t="s">
        <v>852</v>
      </c>
      <c r="S21" s="736">
        <v>28550</v>
      </c>
    </row>
    <row r="22" spans="1:20" s="667" customFormat="1" ht="36" customHeight="1">
      <c r="A22" s="737"/>
      <c r="B22" s="738"/>
      <c r="C22" s="737"/>
      <c r="D22" s="738"/>
      <c r="E22" s="739"/>
      <c r="F22" s="740"/>
      <c r="G22" s="741"/>
      <c r="H22" s="742" t="s">
        <v>894</v>
      </c>
      <c r="I22" s="743">
        <v>10000</v>
      </c>
      <c r="J22" s="744"/>
      <c r="K22" s="745">
        <f>IFERROR(ROUND(Table_C1842[[#This Row],[기준일 현재 
집행액
(천원)]]/Table_C1842[[#This Row],[사업비 예산
(천원)]]*100,2),"")</f>
        <v>0</v>
      </c>
      <c r="L22" s="746" t="s">
        <v>852</v>
      </c>
      <c r="M22" s="712"/>
      <c r="N22" s="747" t="s">
        <v>894</v>
      </c>
      <c r="O22" s="748"/>
      <c r="P22" s="664"/>
      <c r="Q22" s="665" t="str">
        <f>IFERROR(ROUND(P22/O22*100,2),"")</f>
        <v/>
      </c>
      <c r="R22" s="660" t="s">
        <v>852</v>
      </c>
      <c r="S22" s="749">
        <v>9992</v>
      </c>
    </row>
    <row r="23" spans="1:20" ht="39" customHeight="1">
      <c r="A23" s="750"/>
      <c r="B23" s="259"/>
      <c r="C23" s="750"/>
      <c r="D23" s="259"/>
      <c r="E23" s="750"/>
      <c r="F23" s="751"/>
      <c r="G23" s="752"/>
      <c r="H23" s="753" t="s">
        <v>895</v>
      </c>
      <c r="I23" s="754">
        <f>SUM(Table_C1842[사업비 예산
(천원)])</f>
        <v>200000</v>
      </c>
      <c r="J23" s="754">
        <f>SUM(J3:J22)</f>
        <v>283</v>
      </c>
      <c r="K23" s="755">
        <f>ROUND(J23/I23*100,2)</f>
        <v>0.14000000000000001</v>
      </c>
      <c r="L23" s="756"/>
      <c r="M23" s="639"/>
      <c r="N23" s="757" t="s">
        <v>896</v>
      </c>
      <c r="O23" s="758">
        <f>SUM(O3:O22)</f>
        <v>111700</v>
      </c>
      <c r="P23" s="758">
        <f>SUM(P3:P22)</f>
        <v>14576</v>
      </c>
      <c r="Q23" s="674">
        <f t="shared" si="0"/>
        <v>13.05</v>
      </c>
      <c r="R23" s="639"/>
      <c r="S23" s="759">
        <f>SUM(S3:S22)</f>
        <v>142663</v>
      </c>
    </row>
    <row r="24" spans="1:20">
      <c r="A24" s="760"/>
      <c r="B24" s="761"/>
      <c r="C24" s="760"/>
      <c r="D24" s="761"/>
      <c r="E24" s="760"/>
      <c r="F24" s="762"/>
      <c r="G24" s="763"/>
      <c r="H24" s="764"/>
      <c r="I24" s="765"/>
      <c r="J24" s="765"/>
      <c r="K24" s="766"/>
      <c r="L24" s="767"/>
      <c r="N24" s="768"/>
      <c r="O24" s="769" t="s">
        <v>897</v>
      </c>
      <c r="P24" s="585"/>
      <c r="Q24" s="770"/>
      <c r="S24" s="771" t="s">
        <v>898</v>
      </c>
    </row>
    <row r="25" spans="1:20" ht="16.5" customHeight="1">
      <c r="A25" s="772" t="s">
        <v>899</v>
      </c>
      <c r="I25" s="581" t="s">
        <v>763</v>
      </c>
      <c r="J25" s="582">
        <v>300000</v>
      </c>
      <c r="N25" s="774" t="s">
        <v>764</v>
      </c>
      <c r="O25" s="775"/>
      <c r="P25" s="776"/>
      <c r="Q25" s="776"/>
      <c r="R25" s="776"/>
      <c r="S25" s="775">
        <v>23230</v>
      </c>
    </row>
    <row r="26" spans="1:20" ht="16.5" customHeight="1">
      <c r="A26" s="772" t="s">
        <v>900</v>
      </c>
      <c r="I26" s="581" t="s">
        <v>765</v>
      </c>
      <c r="J26" s="582">
        <v>178000</v>
      </c>
      <c r="N26" s="777" t="s">
        <v>766</v>
      </c>
      <c r="O26" s="778"/>
      <c r="P26" s="776"/>
      <c r="Q26" s="776"/>
      <c r="R26" s="776"/>
      <c r="S26" s="778">
        <v>3686</v>
      </c>
    </row>
    <row r="27" spans="1:20" ht="16.5" customHeight="1">
      <c r="I27" s="581" t="s">
        <v>767</v>
      </c>
      <c r="J27" s="582">
        <v>122000</v>
      </c>
      <c r="N27" s="779" t="s">
        <v>768</v>
      </c>
      <c r="O27" s="780">
        <v>5100</v>
      </c>
      <c r="P27" s="776"/>
      <c r="Q27" s="776"/>
      <c r="R27" s="776"/>
      <c r="S27" s="780"/>
    </row>
    <row r="28" spans="1:20" ht="16.5" customHeight="1">
      <c r="N28" s="774" t="s">
        <v>769</v>
      </c>
      <c r="O28" s="778"/>
      <c r="P28" s="776"/>
      <c r="Q28" s="776"/>
      <c r="R28" s="776"/>
      <c r="S28" s="778">
        <v>9000</v>
      </c>
    </row>
    <row r="29" spans="1:20" ht="16.5" customHeight="1">
      <c r="O29" s="590">
        <f>SUM(O23:O28)</f>
        <v>116800</v>
      </c>
      <c r="P29" s="590"/>
      <c r="Q29" s="590"/>
      <c r="R29" s="590"/>
      <c r="S29" s="781">
        <f>SUM(S23:S28)</f>
        <v>178579</v>
      </c>
      <c r="T29" s="580" t="s">
        <v>901</v>
      </c>
    </row>
    <row r="30" spans="1:20" ht="16.5" customHeight="1">
      <c r="O30" s="585"/>
      <c r="P30" s="585"/>
    </row>
    <row r="31" spans="1:20" ht="16.5" customHeight="1"/>
    <row r="32" spans="1:20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</sheetData>
  <mergeCells count="2">
    <mergeCell ref="G1:L1"/>
    <mergeCell ref="N1:R1"/>
  </mergeCells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853F-7DCB-9842-8E59-E891B2C54DCE}">
  <sheetPr>
    <pageSetUpPr fitToPage="1"/>
  </sheetPr>
  <dimension ref="A1:S236"/>
  <sheetViews>
    <sheetView topLeftCell="D1" zoomScale="85" zoomScaleNormal="85" workbookViewId="0">
      <selection activeCell="S21" sqref="S21"/>
    </sheetView>
  </sheetViews>
  <sheetFormatPr baseColWidth="10" defaultColWidth="9" defaultRowHeight="15"/>
  <cols>
    <col min="1" max="1" width="8.83203125" style="580" customWidth="1"/>
    <col min="2" max="2" width="34.1640625" style="580" customWidth="1"/>
    <col min="3" max="3" width="8.83203125" style="580" customWidth="1"/>
    <col min="4" max="4" width="31.6640625" style="580" customWidth="1"/>
    <col min="5" max="5" width="8.6640625" style="580" customWidth="1"/>
    <col min="6" max="6" width="61" style="580" customWidth="1"/>
    <col min="7" max="7" width="9.33203125" style="580" customWidth="1"/>
    <col min="8" max="8" width="48.5" style="773" customWidth="1"/>
    <col min="9" max="11" width="13.6640625" style="583" customWidth="1"/>
    <col min="12" max="12" width="9.33203125" style="580" customWidth="1"/>
    <col min="13" max="13" width="2.6640625" style="580" customWidth="1"/>
    <col min="14" max="14" width="50.5" style="580" customWidth="1"/>
    <col min="15" max="15" width="12.83203125" style="580" customWidth="1"/>
    <col min="16" max="16" width="13.5" style="580" customWidth="1"/>
    <col min="17" max="17" width="12.6640625" style="580" customWidth="1"/>
    <col min="18" max="18" width="10" style="580" customWidth="1"/>
    <col min="19" max="19" width="12.1640625" style="580" customWidth="1"/>
    <col min="20" max="20" width="11.33203125" style="580" bestFit="1" customWidth="1"/>
    <col min="21" max="16384" width="9" style="580"/>
  </cols>
  <sheetData>
    <row r="1" spans="1:19" ht="55" customHeight="1">
      <c r="A1" s="782" t="s">
        <v>832</v>
      </c>
      <c r="B1" s="783" t="s">
        <v>902</v>
      </c>
      <c r="C1" s="784" t="s">
        <v>832</v>
      </c>
      <c r="D1" s="783" t="s">
        <v>903</v>
      </c>
      <c r="E1" s="785" t="s">
        <v>904</v>
      </c>
      <c r="F1" s="783" t="s">
        <v>905</v>
      </c>
      <c r="G1" s="786" t="s">
        <v>906</v>
      </c>
      <c r="H1" s="786"/>
      <c r="I1" s="786"/>
      <c r="J1" s="786"/>
      <c r="K1" s="786"/>
      <c r="L1" s="787"/>
      <c r="M1" s="788" t="s">
        <v>106</v>
      </c>
      <c r="N1" s="789" t="s">
        <v>907</v>
      </c>
      <c r="O1" s="789"/>
      <c r="P1" s="789"/>
      <c r="Q1" s="789"/>
      <c r="R1" s="790"/>
      <c r="S1" s="788" t="s">
        <v>106</v>
      </c>
    </row>
    <row r="2" spans="1:19" ht="58.5" customHeight="1">
      <c r="A2" s="791" t="s">
        <v>27</v>
      </c>
      <c r="B2" s="792" t="s">
        <v>711</v>
      </c>
      <c r="C2" s="793" t="s">
        <v>28</v>
      </c>
      <c r="D2" s="793" t="s">
        <v>712</v>
      </c>
      <c r="E2" s="794" t="s">
        <v>29</v>
      </c>
      <c r="F2" s="795" t="s">
        <v>908</v>
      </c>
      <c r="G2" s="796" t="s">
        <v>909</v>
      </c>
      <c r="H2" s="797" t="s">
        <v>910</v>
      </c>
      <c r="I2" s="798" t="s">
        <v>715</v>
      </c>
      <c r="J2" s="798" t="s">
        <v>716</v>
      </c>
      <c r="K2" s="798" t="s">
        <v>717</v>
      </c>
      <c r="L2" s="799" t="s">
        <v>35</v>
      </c>
      <c r="M2" s="800" t="s">
        <v>106</v>
      </c>
      <c r="N2" s="801" t="s">
        <v>910</v>
      </c>
      <c r="O2" s="801" t="s">
        <v>715</v>
      </c>
      <c r="P2" s="801" t="s">
        <v>911</v>
      </c>
      <c r="Q2" s="801" t="s">
        <v>717</v>
      </c>
      <c r="R2" s="802" t="s">
        <v>35</v>
      </c>
      <c r="S2" s="803" t="s">
        <v>912</v>
      </c>
    </row>
    <row r="3" spans="1:19" s="667" customFormat="1" ht="29.25" customHeight="1">
      <c r="A3" s="804" t="s">
        <v>2</v>
      </c>
      <c r="B3" s="805" t="s">
        <v>913</v>
      </c>
      <c r="C3" s="806" t="s">
        <v>3</v>
      </c>
      <c r="D3" s="807" t="s">
        <v>914</v>
      </c>
      <c r="E3" s="808" t="s">
        <v>139</v>
      </c>
      <c r="F3" s="809" t="s">
        <v>915</v>
      </c>
      <c r="G3" s="810" t="s">
        <v>36</v>
      </c>
      <c r="H3" s="811" t="s">
        <v>916</v>
      </c>
      <c r="I3" s="812">
        <v>3000</v>
      </c>
      <c r="J3" s="813" t="s">
        <v>917</v>
      </c>
      <c r="K3" s="814">
        <f>IFERROR(ROUND(N(J3)/I3*100,2),0)</f>
        <v>0</v>
      </c>
      <c r="L3" s="815" t="s">
        <v>918</v>
      </c>
      <c r="M3" s="816" t="s">
        <v>106</v>
      </c>
      <c r="N3" s="817" t="s">
        <v>919</v>
      </c>
      <c r="O3" s="818" t="s">
        <v>106</v>
      </c>
      <c r="P3" s="819" t="s">
        <v>106</v>
      </c>
      <c r="Q3" s="818" t="s">
        <v>920</v>
      </c>
      <c r="R3" s="820" t="s">
        <v>921</v>
      </c>
      <c r="S3" s="821">
        <v>477</v>
      </c>
    </row>
    <row r="4" spans="1:19" s="667" customFormat="1" ht="34.5" customHeight="1">
      <c r="A4" s="804" t="s">
        <v>2</v>
      </c>
      <c r="B4" s="805" t="s">
        <v>913</v>
      </c>
      <c r="C4" s="806" t="s">
        <v>3</v>
      </c>
      <c r="D4" s="807" t="s">
        <v>914</v>
      </c>
      <c r="E4" s="567" t="s">
        <v>119</v>
      </c>
      <c r="F4" s="550" t="s">
        <v>922</v>
      </c>
      <c r="G4" s="822" t="s">
        <v>197</v>
      </c>
      <c r="H4" s="823" t="s">
        <v>923</v>
      </c>
      <c r="I4" s="824">
        <v>50000</v>
      </c>
      <c r="J4" s="825" t="s">
        <v>917</v>
      </c>
      <c r="K4" s="825">
        <f>IFERROR(ROUND(N(J4)/I4*100,2),0)</f>
        <v>0</v>
      </c>
      <c r="L4" s="826" t="s">
        <v>918</v>
      </c>
      <c r="M4" s="816" t="s">
        <v>106</v>
      </c>
      <c r="N4" s="827" t="s">
        <v>924</v>
      </c>
      <c r="O4" s="828">
        <v>6300</v>
      </c>
      <c r="P4" s="829">
        <v>0</v>
      </c>
      <c r="Q4" s="827">
        <f>IFERROR(ROUND(N(P4)/O4*100,2),0)</f>
        <v>0</v>
      </c>
      <c r="R4" s="820" t="s">
        <v>921</v>
      </c>
      <c r="S4" s="830">
        <v>52640</v>
      </c>
    </row>
    <row r="5" spans="1:19" s="667" customFormat="1" ht="34.5" customHeight="1">
      <c r="A5" s="831" t="s">
        <v>2</v>
      </c>
      <c r="B5" s="805" t="s">
        <v>913</v>
      </c>
      <c r="C5" s="806" t="s">
        <v>3</v>
      </c>
      <c r="D5" s="807" t="s">
        <v>914</v>
      </c>
      <c r="E5" s="567" t="s">
        <v>119</v>
      </c>
      <c r="F5" s="550" t="s">
        <v>922</v>
      </c>
      <c r="G5" s="822" t="s">
        <v>859</v>
      </c>
      <c r="H5" s="823" t="s">
        <v>925</v>
      </c>
      <c r="I5" s="824">
        <v>100000</v>
      </c>
      <c r="J5" s="824">
        <v>4000</v>
      </c>
      <c r="K5" s="832">
        <f>IFERROR(ROUND(N(J5)/I5*100,2),0)</f>
        <v>4</v>
      </c>
      <c r="L5" s="833" t="s">
        <v>918</v>
      </c>
      <c r="M5" s="834" t="s">
        <v>106</v>
      </c>
      <c r="N5" s="821" t="s">
        <v>926</v>
      </c>
      <c r="O5" s="818" t="s">
        <v>106</v>
      </c>
      <c r="P5" s="819" t="s">
        <v>106</v>
      </c>
      <c r="Q5" s="835" t="s">
        <v>106</v>
      </c>
      <c r="R5" s="820" t="s">
        <v>921</v>
      </c>
      <c r="S5" s="836">
        <v>9990</v>
      </c>
    </row>
    <row r="6" spans="1:19" s="667" customFormat="1" ht="34.5" customHeight="1">
      <c r="A6" s="831" t="s">
        <v>2</v>
      </c>
      <c r="B6" s="805" t="s">
        <v>913</v>
      </c>
      <c r="C6" s="533" t="s">
        <v>4</v>
      </c>
      <c r="D6" s="549" t="s">
        <v>126</v>
      </c>
      <c r="E6" s="808" t="s">
        <v>120</v>
      </c>
      <c r="F6" s="809" t="s">
        <v>927</v>
      </c>
      <c r="G6" s="837" t="s">
        <v>202</v>
      </c>
      <c r="H6" s="838" t="s">
        <v>928</v>
      </c>
      <c r="I6" s="839">
        <v>11000</v>
      </c>
      <c r="J6" s="840" t="s">
        <v>917</v>
      </c>
      <c r="K6" s="841">
        <f t="shared" ref="K6:K16" si="0">IFERROR(ROUND(N(J6)/I6*100,2),0)</f>
        <v>0</v>
      </c>
      <c r="L6" s="842" t="s">
        <v>918</v>
      </c>
      <c r="M6" s="834" t="s">
        <v>106</v>
      </c>
      <c r="N6" s="827" t="s">
        <v>929</v>
      </c>
      <c r="O6" s="828">
        <v>7000</v>
      </c>
      <c r="P6" s="829" t="s">
        <v>106</v>
      </c>
      <c r="Q6" s="827">
        <f>IFERROR(ROUND(N(P6)/O6*100,2),0)</f>
        <v>0</v>
      </c>
      <c r="R6" s="820" t="s">
        <v>921</v>
      </c>
      <c r="S6" s="830">
        <v>13298</v>
      </c>
    </row>
    <row r="7" spans="1:19" s="667" customFormat="1" ht="34.5" customHeight="1">
      <c r="A7" s="831" t="s">
        <v>2</v>
      </c>
      <c r="B7" s="805" t="s">
        <v>913</v>
      </c>
      <c r="C7" s="533" t="s">
        <v>4</v>
      </c>
      <c r="D7" s="549" t="s">
        <v>126</v>
      </c>
      <c r="E7" s="808" t="s">
        <v>120</v>
      </c>
      <c r="F7" s="809" t="s">
        <v>927</v>
      </c>
      <c r="G7" s="837" t="s">
        <v>866</v>
      </c>
      <c r="H7" s="843" t="s">
        <v>930</v>
      </c>
      <c r="I7" s="839">
        <v>5000</v>
      </c>
      <c r="J7" s="840" t="s">
        <v>917</v>
      </c>
      <c r="K7" s="841">
        <f t="shared" si="0"/>
        <v>0</v>
      </c>
      <c r="L7" s="842" t="s">
        <v>918</v>
      </c>
      <c r="M7" s="834" t="s">
        <v>106</v>
      </c>
      <c r="N7" s="818" t="s">
        <v>106</v>
      </c>
      <c r="O7" s="818" t="s">
        <v>106</v>
      </c>
      <c r="P7" s="819" t="s">
        <v>106</v>
      </c>
      <c r="Q7" s="835" t="s">
        <v>106</v>
      </c>
      <c r="R7" s="820" t="s">
        <v>106</v>
      </c>
      <c r="S7" s="821" t="s">
        <v>106</v>
      </c>
    </row>
    <row r="8" spans="1:19" s="667" customFormat="1" ht="34.5" customHeight="1">
      <c r="A8" s="831" t="s">
        <v>2</v>
      </c>
      <c r="B8" s="805" t="s">
        <v>913</v>
      </c>
      <c r="C8" s="533" t="s">
        <v>4</v>
      </c>
      <c r="D8" s="549" t="s">
        <v>126</v>
      </c>
      <c r="E8" s="567" t="s">
        <v>121</v>
      </c>
      <c r="F8" s="550" t="s">
        <v>931</v>
      </c>
      <c r="G8" s="567" t="s">
        <v>272</v>
      </c>
      <c r="H8" s="550" t="s">
        <v>932</v>
      </c>
      <c r="I8" s="844">
        <v>9000</v>
      </c>
      <c r="J8" s="844">
        <v>2388</v>
      </c>
      <c r="K8" s="845">
        <f t="shared" si="0"/>
        <v>26.53</v>
      </c>
      <c r="L8" s="846" t="s">
        <v>918</v>
      </c>
      <c r="M8" s="834" t="s">
        <v>106</v>
      </c>
      <c r="N8" s="818" t="s">
        <v>106</v>
      </c>
      <c r="O8" s="818" t="s">
        <v>106</v>
      </c>
      <c r="P8" s="819" t="s">
        <v>106</v>
      </c>
      <c r="Q8" s="835" t="s">
        <v>106</v>
      </c>
      <c r="R8" s="820" t="s">
        <v>106</v>
      </c>
      <c r="S8" s="847" t="s">
        <v>106</v>
      </c>
    </row>
    <row r="9" spans="1:19" s="667" customFormat="1" ht="34.5" customHeight="1">
      <c r="A9" s="831" t="s">
        <v>2</v>
      </c>
      <c r="B9" s="805" t="s">
        <v>913</v>
      </c>
      <c r="C9" s="533" t="s">
        <v>4</v>
      </c>
      <c r="D9" s="549" t="s">
        <v>126</v>
      </c>
      <c r="E9" s="567" t="s">
        <v>121</v>
      </c>
      <c r="F9" s="550" t="s">
        <v>931</v>
      </c>
      <c r="G9" s="567" t="s">
        <v>872</v>
      </c>
      <c r="H9" s="848" t="s">
        <v>933</v>
      </c>
      <c r="I9" s="844">
        <v>5000</v>
      </c>
      <c r="J9" s="549" t="s">
        <v>917</v>
      </c>
      <c r="K9" s="845">
        <f t="shared" si="0"/>
        <v>0</v>
      </c>
      <c r="L9" s="846" t="s">
        <v>918</v>
      </c>
      <c r="M9" s="834" t="s">
        <v>106</v>
      </c>
      <c r="N9" s="818" t="s">
        <v>106</v>
      </c>
      <c r="O9" s="818" t="s">
        <v>106</v>
      </c>
      <c r="P9" s="819" t="s">
        <v>106</v>
      </c>
      <c r="Q9" s="835" t="s">
        <v>106</v>
      </c>
      <c r="R9" s="820" t="s">
        <v>106</v>
      </c>
      <c r="S9" s="847" t="s">
        <v>106</v>
      </c>
    </row>
    <row r="10" spans="1:19" s="667" customFormat="1" ht="34.5" customHeight="1">
      <c r="A10" s="831" t="s">
        <v>2</v>
      </c>
      <c r="B10" s="805" t="s">
        <v>913</v>
      </c>
      <c r="C10" s="806" t="s">
        <v>108</v>
      </c>
      <c r="D10" s="807" t="s">
        <v>127</v>
      </c>
      <c r="E10" s="808" t="s">
        <v>122</v>
      </c>
      <c r="F10" s="809" t="s">
        <v>934</v>
      </c>
      <c r="G10" s="837" t="s">
        <v>212</v>
      </c>
      <c r="H10" s="838" t="s">
        <v>935</v>
      </c>
      <c r="I10" s="839">
        <v>21000</v>
      </c>
      <c r="J10" s="840" t="s">
        <v>917</v>
      </c>
      <c r="K10" s="841">
        <f t="shared" si="0"/>
        <v>0</v>
      </c>
      <c r="L10" s="842" t="s">
        <v>918</v>
      </c>
      <c r="M10" s="834" t="s">
        <v>106</v>
      </c>
      <c r="N10" s="821" t="s">
        <v>935</v>
      </c>
      <c r="O10" s="818" t="s">
        <v>106</v>
      </c>
      <c r="P10" s="819" t="s">
        <v>106</v>
      </c>
      <c r="Q10" s="835" t="s">
        <v>106</v>
      </c>
      <c r="R10" s="820" t="s">
        <v>921</v>
      </c>
      <c r="S10" s="849">
        <v>15679</v>
      </c>
    </row>
    <row r="11" spans="1:19" s="667" customFormat="1" ht="34.5" customHeight="1">
      <c r="A11" s="850" t="s">
        <v>2</v>
      </c>
      <c r="B11" s="805" t="s">
        <v>913</v>
      </c>
      <c r="C11" s="851" t="s">
        <v>108</v>
      </c>
      <c r="D11" s="807" t="s">
        <v>127</v>
      </c>
      <c r="E11" s="852" t="s">
        <v>123</v>
      </c>
      <c r="F11" s="550" t="s">
        <v>936</v>
      </c>
      <c r="G11" s="567" t="s">
        <v>318</v>
      </c>
      <c r="H11" s="550" t="s">
        <v>937</v>
      </c>
      <c r="I11" s="844">
        <v>10000</v>
      </c>
      <c r="J11" s="549" t="s">
        <v>917</v>
      </c>
      <c r="K11" s="845">
        <f t="shared" si="0"/>
        <v>0</v>
      </c>
      <c r="L11" s="846" t="s">
        <v>918</v>
      </c>
      <c r="M11" s="834" t="s">
        <v>106</v>
      </c>
      <c r="N11" s="821" t="s">
        <v>938</v>
      </c>
      <c r="O11" s="818" t="s">
        <v>106</v>
      </c>
      <c r="P11" s="819" t="s">
        <v>106</v>
      </c>
      <c r="Q11" s="835" t="s">
        <v>106</v>
      </c>
      <c r="R11" s="820" t="s">
        <v>921</v>
      </c>
      <c r="S11" s="847" t="s">
        <v>106</v>
      </c>
    </row>
    <row r="12" spans="1:19" s="667" customFormat="1" ht="34.5" customHeight="1">
      <c r="A12" s="853" t="s">
        <v>5</v>
      </c>
      <c r="B12" s="549" t="s">
        <v>939</v>
      </c>
      <c r="C12" s="567" t="s">
        <v>109</v>
      </c>
      <c r="D12" s="550" t="s">
        <v>128</v>
      </c>
      <c r="E12" s="808" t="s">
        <v>124</v>
      </c>
      <c r="F12" s="809" t="s">
        <v>940</v>
      </c>
      <c r="G12" s="837" t="s">
        <v>218</v>
      </c>
      <c r="H12" s="843" t="s">
        <v>941</v>
      </c>
      <c r="I12" s="839">
        <v>5000</v>
      </c>
      <c r="J12" s="840" t="s">
        <v>917</v>
      </c>
      <c r="K12" s="841">
        <f t="shared" si="0"/>
        <v>0</v>
      </c>
      <c r="L12" s="842" t="s">
        <v>918</v>
      </c>
      <c r="M12" s="834" t="s">
        <v>106</v>
      </c>
      <c r="N12" s="821" t="s">
        <v>942</v>
      </c>
      <c r="O12" s="818" t="s">
        <v>106</v>
      </c>
      <c r="P12" s="819" t="s">
        <v>106</v>
      </c>
      <c r="Q12" s="835" t="s">
        <v>106</v>
      </c>
      <c r="R12" s="820" t="s">
        <v>921</v>
      </c>
      <c r="S12" s="836">
        <v>2651</v>
      </c>
    </row>
    <row r="13" spans="1:19" s="667" customFormat="1" ht="34.5" customHeight="1">
      <c r="A13" s="853" t="s">
        <v>5</v>
      </c>
      <c r="B13" s="549" t="s">
        <v>939</v>
      </c>
      <c r="C13" s="567" t="s">
        <v>109</v>
      </c>
      <c r="D13" s="550" t="s">
        <v>128</v>
      </c>
      <c r="E13" s="808" t="s">
        <v>124</v>
      </c>
      <c r="F13" s="809" t="s">
        <v>940</v>
      </c>
      <c r="G13" s="837" t="s">
        <v>221</v>
      </c>
      <c r="H13" s="838" t="s">
        <v>943</v>
      </c>
      <c r="I13" s="839">
        <v>25000</v>
      </c>
      <c r="J13" s="840" t="s">
        <v>917</v>
      </c>
      <c r="K13" s="841">
        <f t="shared" si="0"/>
        <v>0</v>
      </c>
      <c r="L13" s="842" t="s">
        <v>918</v>
      </c>
      <c r="M13" s="834" t="s">
        <v>106</v>
      </c>
      <c r="N13" s="827" t="s">
        <v>944</v>
      </c>
      <c r="O13" s="828">
        <v>10000</v>
      </c>
      <c r="P13" s="829">
        <v>1051</v>
      </c>
      <c r="Q13" s="827">
        <f>IFERROR(ROUND(N(P13)/O13*100,2),0)</f>
        <v>10.51</v>
      </c>
      <c r="R13" s="820" t="s">
        <v>921</v>
      </c>
      <c r="S13" s="830">
        <v>22355</v>
      </c>
    </row>
    <row r="14" spans="1:19" s="667" customFormat="1" ht="34.5" customHeight="1">
      <c r="A14" s="853" t="s">
        <v>5</v>
      </c>
      <c r="B14" s="549" t="s">
        <v>939</v>
      </c>
      <c r="C14" s="567" t="s">
        <v>109</v>
      </c>
      <c r="D14" s="550" t="s">
        <v>128</v>
      </c>
      <c r="E14" s="567" t="s">
        <v>125</v>
      </c>
      <c r="F14" s="550" t="s">
        <v>945</v>
      </c>
      <c r="G14" s="567" t="s">
        <v>229</v>
      </c>
      <c r="H14" s="550" t="s">
        <v>946</v>
      </c>
      <c r="I14" s="844">
        <v>10000</v>
      </c>
      <c r="J14" s="549" t="s">
        <v>917</v>
      </c>
      <c r="K14" s="845">
        <f t="shared" si="0"/>
        <v>0</v>
      </c>
      <c r="L14" s="846" t="s">
        <v>918</v>
      </c>
      <c r="M14" s="834" t="s">
        <v>106</v>
      </c>
      <c r="N14" s="818" t="s">
        <v>106</v>
      </c>
      <c r="O14" s="818" t="s">
        <v>106</v>
      </c>
      <c r="P14" s="819" t="s">
        <v>106</v>
      </c>
      <c r="Q14" s="835" t="s">
        <v>106</v>
      </c>
      <c r="R14" s="820" t="s">
        <v>921</v>
      </c>
      <c r="S14" s="847" t="s">
        <v>106</v>
      </c>
    </row>
    <row r="15" spans="1:19" s="667" customFormat="1" ht="34.5" customHeight="1">
      <c r="A15" s="853" t="s">
        <v>5</v>
      </c>
      <c r="B15" s="549" t="s">
        <v>939</v>
      </c>
      <c r="C15" s="854" t="s">
        <v>6</v>
      </c>
      <c r="D15" s="855" t="s">
        <v>129</v>
      </c>
      <c r="E15" s="808" t="s">
        <v>130</v>
      </c>
      <c r="F15" s="809" t="s">
        <v>947</v>
      </c>
      <c r="G15" s="837" t="s">
        <v>234</v>
      </c>
      <c r="H15" s="838" t="s">
        <v>948</v>
      </c>
      <c r="I15" s="839">
        <v>10000</v>
      </c>
      <c r="J15" s="840" t="s">
        <v>917</v>
      </c>
      <c r="K15" s="841">
        <f t="shared" si="0"/>
        <v>0</v>
      </c>
      <c r="L15" s="842" t="s">
        <v>918</v>
      </c>
      <c r="M15" s="834" t="s">
        <v>106</v>
      </c>
      <c r="N15" s="821" t="s">
        <v>949</v>
      </c>
      <c r="O15" s="818" t="s">
        <v>106</v>
      </c>
      <c r="P15" s="819" t="s">
        <v>106</v>
      </c>
      <c r="Q15" s="835" t="s">
        <v>106</v>
      </c>
      <c r="R15" s="820" t="s">
        <v>921</v>
      </c>
      <c r="S15" s="849">
        <v>1753</v>
      </c>
    </row>
    <row r="16" spans="1:19" s="667" customFormat="1" ht="34.5" customHeight="1">
      <c r="A16" s="533" t="s">
        <v>5</v>
      </c>
      <c r="B16" s="549" t="s">
        <v>939</v>
      </c>
      <c r="C16" s="806" t="s">
        <v>6</v>
      </c>
      <c r="D16" s="807" t="s">
        <v>129</v>
      </c>
      <c r="E16" s="567" t="s">
        <v>131</v>
      </c>
      <c r="F16" s="550" t="s">
        <v>950</v>
      </c>
      <c r="G16" s="822" t="s">
        <v>236</v>
      </c>
      <c r="H16" s="856" t="s">
        <v>951</v>
      </c>
      <c r="I16" s="824">
        <v>136000</v>
      </c>
      <c r="J16" s="825" t="s">
        <v>917</v>
      </c>
      <c r="K16" s="832">
        <f t="shared" si="0"/>
        <v>0</v>
      </c>
      <c r="L16" s="826" t="s">
        <v>918</v>
      </c>
      <c r="M16" s="816" t="s">
        <v>106</v>
      </c>
      <c r="N16" s="827" t="s">
        <v>952</v>
      </c>
      <c r="O16" s="828">
        <v>7700</v>
      </c>
      <c r="P16" s="829">
        <v>0</v>
      </c>
      <c r="Q16" s="827">
        <f>IFERROR(ROUND(N(P16)/O16*100,2),0)</f>
        <v>0</v>
      </c>
      <c r="R16" s="820" t="s">
        <v>921</v>
      </c>
      <c r="S16" s="830">
        <v>333565</v>
      </c>
    </row>
    <row r="17" spans="1:19" s="667" customFormat="1" ht="34.5" customHeight="1">
      <c r="A17" s="857" t="s">
        <v>106</v>
      </c>
      <c r="B17" s="857" t="s">
        <v>106</v>
      </c>
      <c r="C17" s="857" t="s">
        <v>106</v>
      </c>
      <c r="D17" s="857" t="s">
        <v>106</v>
      </c>
      <c r="E17" s="857" t="s">
        <v>106</v>
      </c>
      <c r="F17" s="858" t="s">
        <v>106</v>
      </c>
      <c r="G17" s="858" t="s">
        <v>106</v>
      </c>
      <c r="H17" s="859" t="s">
        <v>953</v>
      </c>
      <c r="I17" s="860">
        <f>SUM(I3:I16)</f>
        <v>400000</v>
      </c>
      <c r="J17" s="860">
        <f>SUM(J3:J16)</f>
        <v>6388</v>
      </c>
      <c r="K17" s="861">
        <f>IFERROR(ROUND(N(J17)/I17*100,2),0)</f>
        <v>1.6</v>
      </c>
      <c r="L17" s="575" t="s">
        <v>106</v>
      </c>
      <c r="M17" s="816" t="s">
        <v>106</v>
      </c>
      <c r="N17" s="862" t="s">
        <v>954</v>
      </c>
      <c r="O17" s="863">
        <v>31000</v>
      </c>
      <c r="P17" s="864">
        <f>SUM(P3:P16)</f>
        <v>1051</v>
      </c>
      <c r="Q17" s="865">
        <f>IFERROR(ROUND(N(P17)/O17*100,2),0)</f>
        <v>3.39</v>
      </c>
      <c r="R17" s="866" t="s">
        <v>106</v>
      </c>
      <c r="S17" s="867">
        <v>452408</v>
      </c>
    </row>
    <row r="18" spans="1:19" ht="18.75" customHeight="1" thickBot="1">
      <c r="A18" s="868"/>
      <c r="B18" s="868"/>
      <c r="C18" s="868"/>
      <c r="D18" s="868"/>
      <c r="E18" s="868"/>
      <c r="F18" s="868"/>
      <c r="G18" s="868"/>
      <c r="H18" s="869"/>
      <c r="I18" s="868"/>
      <c r="J18" s="868"/>
      <c r="K18" s="868"/>
      <c r="L18" s="868"/>
      <c r="M18" s="868"/>
      <c r="N18" s="868"/>
      <c r="O18" s="868"/>
      <c r="P18" s="868"/>
      <c r="Q18" s="868"/>
      <c r="R18" s="868"/>
      <c r="S18" s="868"/>
    </row>
    <row r="19" spans="1:19" ht="20" customHeight="1">
      <c r="A19" s="870"/>
      <c r="B19" s="868"/>
      <c r="C19" s="868"/>
      <c r="D19" s="868"/>
      <c r="E19" s="868"/>
      <c r="F19" s="868"/>
      <c r="G19" s="868"/>
      <c r="H19" s="869"/>
      <c r="I19" s="868"/>
      <c r="J19" s="868"/>
      <c r="K19" s="868"/>
      <c r="L19" s="868"/>
      <c r="M19" s="868"/>
      <c r="N19" s="871" t="s">
        <v>106</v>
      </c>
      <c r="O19" s="872" t="s">
        <v>955</v>
      </c>
      <c r="P19" s="873" t="s">
        <v>956</v>
      </c>
      <c r="Q19" s="874" t="s">
        <v>957</v>
      </c>
      <c r="R19" s="875" t="s">
        <v>958</v>
      </c>
      <c r="S19" s="868"/>
    </row>
    <row r="20" spans="1:19" ht="20" customHeight="1">
      <c r="A20" s="870"/>
      <c r="B20" s="868"/>
      <c r="C20" s="868"/>
      <c r="D20" s="868"/>
      <c r="E20" s="868"/>
      <c r="F20" s="868"/>
      <c r="G20" s="868"/>
      <c r="H20" s="869"/>
      <c r="I20" s="868"/>
      <c r="J20" s="868"/>
      <c r="K20" s="868"/>
      <c r="L20" s="868"/>
      <c r="M20" s="868"/>
      <c r="N20" s="876" t="s">
        <v>959</v>
      </c>
      <c r="O20" s="877">
        <v>31000</v>
      </c>
      <c r="P20" s="878">
        <f>P17</f>
        <v>1051</v>
      </c>
      <c r="Q20" s="879">
        <f>O20-P17</f>
        <v>29949</v>
      </c>
      <c r="R20" s="880">
        <f>Q17</f>
        <v>3.39</v>
      </c>
      <c r="S20" s="868"/>
    </row>
    <row r="21" spans="1:19" ht="20" customHeight="1">
      <c r="A21" s="870"/>
      <c r="B21" s="868"/>
      <c r="C21" s="868"/>
      <c r="D21" s="868"/>
      <c r="E21" s="868"/>
      <c r="F21" s="868"/>
      <c r="G21" s="868"/>
      <c r="H21" s="869" t="s">
        <v>960</v>
      </c>
      <c r="I21" s="868"/>
      <c r="J21" s="868"/>
      <c r="K21" s="868"/>
      <c r="L21" s="868"/>
      <c r="M21" s="868"/>
      <c r="N21" s="876" t="s">
        <v>961</v>
      </c>
      <c r="O21" s="877">
        <v>5000</v>
      </c>
      <c r="P21" s="881">
        <v>0</v>
      </c>
      <c r="Q21" s="882">
        <v>500</v>
      </c>
      <c r="R21" s="880">
        <f t="shared" ref="R21:R22" si="1">IFERROR(ROUND(N(Q21)/P21*100,2),0)</f>
        <v>0</v>
      </c>
      <c r="S21" s="868"/>
    </row>
    <row r="22" spans="1:19" ht="20" customHeight="1">
      <c r="A22" s="870"/>
      <c r="B22" s="868"/>
      <c r="C22" s="868"/>
      <c r="D22" s="868"/>
      <c r="E22" s="868"/>
      <c r="F22" s="868"/>
      <c r="G22" s="868"/>
      <c r="H22" s="869"/>
      <c r="I22" s="868"/>
      <c r="J22" s="868"/>
      <c r="K22" s="868"/>
      <c r="L22" s="868"/>
      <c r="M22" s="868"/>
      <c r="N22" s="876" t="s">
        <v>962</v>
      </c>
      <c r="O22" s="877">
        <f>O20+O21</f>
        <v>36000</v>
      </c>
      <c r="P22" s="883">
        <f>P20+P21</f>
        <v>1051</v>
      </c>
      <c r="Q22" s="884">
        <v>36000</v>
      </c>
      <c r="R22" s="885">
        <f t="shared" si="1"/>
        <v>3425.31</v>
      </c>
      <c r="S22" s="868"/>
    </row>
    <row r="23" spans="1:19" ht="20" customHeight="1">
      <c r="A23" s="870"/>
      <c r="B23" s="868"/>
      <c r="C23" s="868"/>
      <c r="D23" s="868"/>
      <c r="E23" s="868"/>
      <c r="F23" s="868"/>
      <c r="G23" s="868"/>
      <c r="H23" s="869"/>
      <c r="I23" s="868"/>
      <c r="J23" s="868"/>
      <c r="K23" s="868"/>
      <c r="L23" s="868"/>
      <c r="M23" s="868"/>
      <c r="N23" s="886" t="s">
        <v>963</v>
      </c>
      <c r="O23" s="887" t="s">
        <v>964</v>
      </c>
      <c r="P23" s="888">
        <v>33545</v>
      </c>
      <c r="Q23" s="881" t="s">
        <v>106</v>
      </c>
      <c r="R23" s="889"/>
      <c r="S23" s="868"/>
    </row>
    <row r="24" spans="1:19" ht="20" customHeight="1">
      <c r="A24" s="870"/>
      <c r="B24" s="868"/>
      <c r="C24" s="868"/>
      <c r="D24" s="868"/>
      <c r="E24" s="868"/>
      <c r="F24" s="868"/>
      <c r="G24" s="868"/>
      <c r="H24" s="869"/>
      <c r="I24" s="868"/>
      <c r="J24" s="868"/>
      <c r="K24" s="868"/>
      <c r="L24" s="868"/>
      <c r="M24" s="868"/>
      <c r="N24" s="886" t="s">
        <v>965</v>
      </c>
      <c r="O24" s="890" t="s">
        <v>964</v>
      </c>
      <c r="P24" s="888">
        <v>452408</v>
      </c>
      <c r="Q24" s="881" t="s">
        <v>106</v>
      </c>
      <c r="R24" s="889"/>
      <c r="S24" s="868"/>
    </row>
    <row r="25" spans="1:19" ht="20" customHeight="1">
      <c r="A25" s="870"/>
      <c r="B25" s="868"/>
      <c r="C25" s="868"/>
      <c r="D25" s="868"/>
      <c r="E25" s="868"/>
      <c r="F25" s="868"/>
      <c r="G25" s="868"/>
      <c r="H25" s="869"/>
      <c r="I25" s="868"/>
      <c r="J25" s="868"/>
      <c r="K25" s="868"/>
      <c r="L25" s="868"/>
      <c r="M25" s="868"/>
      <c r="N25" s="891" t="s">
        <v>966</v>
      </c>
      <c r="O25" s="890" t="s">
        <v>964</v>
      </c>
      <c r="P25" s="888">
        <v>11521</v>
      </c>
      <c r="Q25" s="881" t="s">
        <v>106</v>
      </c>
      <c r="R25" s="889"/>
      <c r="S25" s="868"/>
    </row>
    <row r="26" spans="1:19" ht="20" customHeight="1">
      <c r="A26" s="870"/>
      <c r="B26" s="868"/>
      <c r="C26" s="868"/>
      <c r="D26" s="868"/>
      <c r="E26" s="868"/>
      <c r="F26" s="868"/>
      <c r="G26" s="868"/>
      <c r="H26" s="869"/>
      <c r="I26" s="868"/>
      <c r="J26" s="868"/>
      <c r="K26" s="868"/>
      <c r="L26" s="868"/>
      <c r="M26" s="868"/>
      <c r="N26" s="886" t="s">
        <v>967</v>
      </c>
      <c r="O26" s="890" t="s">
        <v>964</v>
      </c>
      <c r="P26" s="888">
        <v>15000</v>
      </c>
      <c r="Q26" s="881" t="s">
        <v>106</v>
      </c>
      <c r="R26" s="889"/>
      <c r="S26" s="868"/>
    </row>
    <row r="27" spans="1:19" ht="20" customHeight="1">
      <c r="A27" s="870"/>
      <c r="B27" s="868"/>
      <c r="C27" s="868"/>
      <c r="D27" s="868"/>
      <c r="E27" s="868"/>
      <c r="F27" s="868"/>
      <c r="G27" s="868"/>
      <c r="H27" s="869"/>
      <c r="I27" s="868"/>
      <c r="J27" s="868"/>
      <c r="K27" s="868"/>
      <c r="L27" s="868"/>
      <c r="M27" s="868"/>
      <c r="N27" s="892" t="s">
        <v>968</v>
      </c>
      <c r="O27" s="893"/>
      <c r="P27" s="894">
        <v>512474</v>
      </c>
      <c r="Q27" s="881" t="s">
        <v>106</v>
      </c>
      <c r="R27" s="889"/>
      <c r="S27" s="868"/>
    </row>
    <row r="28" spans="1:19" ht="20" customHeight="1" thickBot="1">
      <c r="A28" s="870"/>
      <c r="B28" s="868"/>
      <c r="C28" s="868"/>
      <c r="D28" s="868"/>
      <c r="E28" s="868"/>
      <c r="F28" s="868"/>
      <c r="G28" s="868"/>
      <c r="H28" s="869"/>
      <c r="I28" s="868"/>
      <c r="J28" s="868"/>
      <c r="K28" s="868"/>
      <c r="L28" s="868"/>
      <c r="M28" s="868"/>
      <c r="N28" s="895" t="s">
        <v>969</v>
      </c>
      <c r="O28" s="896"/>
      <c r="P28" s="897">
        <v>548474</v>
      </c>
      <c r="Q28" s="898" t="s">
        <v>106</v>
      </c>
      <c r="R28" s="899"/>
      <c r="S28" s="868"/>
    </row>
    <row r="29" spans="1:19" ht="10.5" customHeight="1">
      <c r="A29" s="868"/>
      <c r="B29" s="868"/>
      <c r="C29" s="868"/>
      <c r="D29" s="868"/>
      <c r="E29" s="868"/>
      <c r="F29" s="868"/>
      <c r="G29" s="868"/>
      <c r="H29" s="869"/>
      <c r="I29" s="868"/>
      <c r="J29" s="868"/>
      <c r="K29" s="868"/>
      <c r="L29" s="868"/>
      <c r="M29" s="868"/>
      <c r="N29" s="868"/>
      <c r="O29" s="868"/>
      <c r="P29" s="868"/>
      <c r="Q29" s="868"/>
      <c r="R29" s="868"/>
      <c r="S29" s="868"/>
    </row>
    <row r="30" spans="1:19" ht="16.5" customHeight="1">
      <c r="A30" s="868"/>
      <c r="B30" s="868"/>
      <c r="C30" s="868"/>
      <c r="D30" s="868"/>
      <c r="E30" s="868"/>
      <c r="F30" s="868"/>
      <c r="G30" s="868"/>
      <c r="H30" s="869"/>
      <c r="I30" s="868"/>
      <c r="J30" s="868"/>
      <c r="K30" s="868"/>
      <c r="L30" s="868"/>
      <c r="M30" s="868"/>
      <c r="N30" s="900" t="s">
        <v>970</v>
      </c>
      <c r="O30" s="868"/>
      <c r="P30" s="868"/>
      <c r="Q30" s="868"/>
      <c r="R30" s="868"/>
      <c r="S30" s="868"/>
    </row>
    <row r="31" spans="1:19" ht="16.5" customHeight="1">
      <c r="A31" s="868"/>
      <c r="B31" s="868"/>
      <c r="C31" s="868"/>
      <c r="D31" s="868"/>
      <c r="E31" s="868"/>
      <c r="F31" s="868"/>
      <c r="G31" s="868"/>
      <c r="H31" s="869"/>
      <c r="I31" s="868"/>
      <c r="J31" s="868"/>
      <c r="K31" s="868"/>
      <c r="L31" s="868"/>
      <c r="M31" s="868"/>
      <c r="N31" s="868"/>
      <c r="O31" s="868"/>
      <c r="P31" s="868"/>
      <c r="Q31" s="868"/>
      <c r="R31" s="868"/>
      <c r="S31" s="868"/>
    </row>
    <row r="32" spans="1:19" ht="16.5" customHeight="1">
      <c r="A32" s="868"/>
      <c r="B32" s="868"/>
      <c r="C32" s="868"/>
      <c r="D32" s="868"/>
      <c r="E32" s="868"/>
      <c r="F32" s="868"/>
      <c r="G32" s="868"/>
      <c r="H32" s="869"/>
      <c r="I32" s="868"/>
      <c r="J32" s="868"/>
      <c r="K32" s="868"/>
      <c r="L32" s="868"/>
      <c r="M32" s="868"/>
      <c r="N32" s="868"/>
      <c r="O32" s="868"/>
      <c r="P32" s="868"/>
      <c r="Q32" s="868"/>
      <c r="R32" s="868"/>
      <c r="S32" s="868"/>
    </row>
    <row r="33" spans="1:19" ht="16.5" customHeight="1">
      <c r="A33" s="868"/>
      <c r="B33" s="868"/>
      <c r="C33" s="868"/>
      <c r="D33" s="868"/>
      <c r="E33" s="868"/>
      <c r="F33" s="868"/>
      <c r="G33" s="868"/>
      <c r="H33" s="869"/>
      <c r="I33" s="868"/>
      <c r="J33" s="868"/>
      <c r="K33" s="868"/>
      <c r="L33" s="868"/>
      <c r="M33" s="868"/>
      <c r="N33" s="868"/>
      <c r="O33" s="868"/>
      <c r="P33" s="868"/>
      <c r="Q33" s="868"/>
      <c r="R33" s="868"/>
      <c r="S33" s="868"/>
    </row>
    <row r="34" spans="1:19" ht="16.5" customHeight="1">
      <c r="A34" s="868"/>
      <c r="B34" s="868"/>
      <c r="C34" s="868"/>
      <c r="D34" s="868"/>
      <c r="E34" s="868"/>
      <c r="F34" s="868"/>
      <c r="G34" s="868"/>
      <c r="H34" s="869"/>
      <c r="I34" s="868"/>
      <c r="J34" s="868"/>
      <c r="K34" s="868"/>
      <c r="L34" s="868"/>
      <c r="M34" s="868"/>
      <c r="N34" s="868"/>
      <c r="O34" s="868"/>
      <c r="P34" s="868"/>
      <c r="Q34" s="868"/>
      <c r="R34" s="868"/>
      <c r="S34" s="868"/>
    </row>
    <row r="35" spans="1:19" ht="16.5" customHeight="1">
      <c r="A35" s="868"/>
      <c r="B35" s="868"/>
      <c r="C35" s="868"/>
      <c r="D35" s="868"/>
      <c r="E35" s="868"/>
      <c r="F35" s="868"/>
      <c r="G35" s="868"/>
      <c r="H35" s="869"/>
      <c r="I35" s="868"/>
      <c r="J35" s="868"/>
      <c r="K35" s="868"/>
      <c r="L35" s="868"/>
      <c r="M35" s="868"/>
      <c r="N35" s="868"/>
      <c r="O35" s="868"/>
      <c r="P35" s="868"/>
      <c r="Q35" s="868"/>
      <c r="R35" s="868"/>
      <c r="S35" s="868"/>
    </row>
    <row r="36" spans="1:19" ht="16.5" customHeight="1">
      <c r="A36" s="868"/>
      <c r="B36" s="868"/>
      <c r="C36" s="868"/>
      <c r="D36" s="868"/>
      <c r="E36" s="868"/>
      <c r="F36" s="868"/>
      <c r="G36" s="868"/>
      <c r="H36" s="869"/>
      <c r="I36" s="868"/>
      <c r="J36" s="868"/>
      <c r="K36" s="868"/>
      <c r="L36" s="868"/>
      <c r="M36" s="868"/>
      <c r="N36" s="868"/>
      <c r="O36" s="868"/>
      <c r="P36" s="868"/>
      <c r="Q36" s="868"/>
      <c r="R36" s="868"/>
      <c r="S36" s="868"/>
    </row>
    <row r="37" spans="1:19" ht="16.5" customHeight="1">
      <c r="A37" s="868"/>
      <c r="B37" s="868"/>
      <c r="C37" s="868"/>
      <c r="D37" s="868"/>
      <c r="E37" s="868"/>
      <c r="F37" s="868"/>
      <c r="G37" s="868"/>
      <c r="H37" s="869"/>
      <c r="I37" s="868"/>
      <c r="J37" s="868"/>
      <c r="K37" s="868"/>
      <c r="L37" s="868"/>
      <c r="M37" s="868"/>
      <c r="N37" s="868"/>
      <c r="O37" s="868"/>
      <c r="P37" s="868"/>
      <c r="Q37" s="868"/>
      <c r="R37" s="868"/>
      <c r="S37" s="868"/>
    </row>
    <row r="38" spans="1:19" ht="16.5" customHeight="1">
      <c r="A38" s="868"/>
      <c r="B38" s="868"/>
      <c r="C38" s="868"/>
      <c r="D38" s="868"/>
      <c r="E38" s="868"/>
      <c r="F38" s="868"/>
      <c r="G38" s="868"/>
      <c r="H38" s="869"/>
      <c r="I38" s="868"/>
      <c r="J38" s="868"/>
      <c r="K38" s="868"/>
      <c r="L38" s="868"/>
      <c r="M38" s="868"/>
      <c r="N38" s="868"/>
      <c r="O38" s="868"/>
      <c r="P38" s="868"/>
      <c r="Q38" s="868"/>
      <c r="R38" s="868"/>
      <c r="S38" s="868"/>
    </row>
    <row r="39" spans="1:19" ht="16.5" customHeight="1">
      <c r="A39" s="868"/>
      <c r="B39" s="868"/>
      <c r="C39" s="868"/>
      <c r="D39" s="868"/>
      <c r="E39" s="868"/>
      <c r="F39" s="868"/>
      <c r="G39" s="868"/>
      <c r="H39" s="869"/>
      <c r="I39" s="868"/>
      <c r="J39" s="868"/>
      <c r="K39" s="868"/>
      <c r="L39" s="868"/>
      <c r="M39" s="868"/>
      <c r="N39" s="868"/>
      <c r="O39" s="868"/>
      <c r="P39" s="868"/>
      <c r="Q39" s="868"/>
      <c r="R39" s="868"/>
      <c r="S39" s="868"/>
    </row>
    <row r="40" spans="1:19" ht="16.5" customHeight="1">
      <c r="A40" s="868"/>
      <c r="B40" s="868"/>
      <c r="C40" s="868"/>
      <c r="D40" s="868"/>
      <c r="E40" s="868"/>
      <c r="F40" s="868"/>
      <c r="G40" s="868"/>
      <c r="H40" s="869"/>
      <c r="I40" s="868"/>
      <c r="J40" s="868"/>
      <c r="K40" s="868"/>
      <c r="L40" s="868"/>
      <c r="M40" s="868"/>
      <c r="N40" s="868"/>
      <c r="O40" s="868"/>
      <c r="P40" s="868"/>
      <c r="Q40" s="868"/>
      <c r="R40" s="868"/>
      <c r="S40" s="868"/>
    </row>
    <row r="41" spans="1:19" ht="16.5" customHeight="1">
      <c r="A41" s="868"/>
      <c r="B41" s="868"/>
      <c r="C41" s="868"/>
      <c r="D41" s="868"/>
      <c r="E41" s="868"/>
      <c r="F41" s="868"/>
      <c r="G41" s="868"/>
      <c r="H41" s="869"/>
      <c r="I41" s="868"/>
      <c r="J41" s="868"/>
      <c r="K41" s="868"/>
      <c r="L41" s="868"/>
      <c r="M41" s="868"/>
      <c r="N41" s="868"/>
      <c r="O41" s="868"/>
      <c r="P41" s="868"/>
      <c r="Q41" s="868"/>
      <c r="R41" s="868"/>
      <c r="S41" s="868"/>
    </row>
    <row r="42" spans="1:19" ht="16.5" customHeight="1">
      <c r="A42" s="868"/>
      <c r="B42" s="868"/>
      <c r="C42" s="868"/>
      <c r="D42" s="868"/>
      <c r="E42" s="868"/>
      <c r="F42" s="868"/>
      <c r="G42" s="868"/>
      <c r="H42" s="869"/>
      <c r="I42" s="868"/>
      <c r="J42" s="868"/>
      <c r="K42" s="868"/>
      <c r="L42" s="868"/>
      <c r="M42" s="868"/>
      <c r="N42" s="868"/>
      <c r="O42" s="868"/>
      <c r="P42" s="868"/>
      <c r="Q42" s="868"/>
      <c r="R42" s="868"/>
      <c r="S42" s="868"/>
    </row>
    <row r="43" spans="1:19" ht="16.5" customHeight="1">
      <c r="A43" s="868"/>
      <c r="B43" s="868"/>
      <c r="C43" s="868"/>
      <c r="D43" s="868"/>
      <c r="E43" s="868"/>
      <c r="F43" s="868"/>
      <c r="G43" s="868"/>
      <c r="H43" s="869"/>
      <c r="I43" s="868"/>
      <c r="J43" s="868"/>
      <c r="K43" s="868"/>
      <c r="L43" s="868"/>
      <c r="M43" s="868"/>
      <c r="N43" s="868"/>
      <c r="O43" s="868"/>
      <c r="P43" s="868"/>
      <c r="Q43" s="868"/>
      <c r="R43" s="868"/>
      <c r="S43" s="868"/>
    </row>
    <row r="44" spans="1:19" ht="16.5" customHeight="1">
      <c r="A44" s="868"/>
      <c r="B44" s="868"/>
      <c r="C44" s="868"/>
      <c r="D44" s="868"/>
      <c r="E44" s="868"/>
      <c r="F44" s="868"/>
      <c r="G44" s="868"/>
      <c r="H44" s="869"/>
      <c r="I44" s="868"/>
      <c r="J44" s="868"/>
      <c r="K44" s="868"/>
      <c r="L44" s="868"/>
      <c r="M44" s="868"/>
      <c r="N44" s="868"/>
      <c r="O44" s="868"/>
      <c r="P44" s="868"/>
      <c r="Q44" s="868"/>
      <c r="R44" s="868"/>
      <c r="S44" s="868"/>
    </row>
    <row r="45" spans="1:19" ht="16.5" customHeight="1">
      <c r="A45" s="868"/>
      <c r="B45" s="868"/>
      <c r="C45" s="868"/>
      <c r="D45" s="868"/>
      <c r="E45" s="868"/>
      <c r="F45" s="868"/>
      <c r="G45" s="868"/>
      <c r="H45" s="869"/>
      <c r="I45" s="868"/>
      <c r="J45" s="868"/>
      <c r="K45" s="868"/>
      <c r="L45" s="868"/>
      <c r="M45" s="868"/>
      <c r="N45" s="868"/>
      <c r="O45" s="868"/>
      <c r="P45" s="868"/>
      <c r="Q45" s="868"/>
      <c r="R45" s="868"/>
      <c r="S45" s="868"/>
    </row>
    <row r="46" spans="1:19" ht="16.5" customHeight="1">
      <c r="A46" s="868"/>
      <c r="B46" s="868"/>
      <c r="C46" s="868"/>
      <c r="D46" s="868"/>
      <c r="E46" s="868"/>
      <c r="F46" s="868"/>
      <c r="G46" s="868"/>
      <c r="H46" s="869"/>
      <c r="I46" s="868"/>
      <c r="J46" s="868"/>
      <c r="K46" s="868"/>
      <c r="L46" s="868"/>
      <c r="M46" s="868"/>
      <c r="N46" s="868"/>
      <c r="O46" s="868"/>
      <c r="P46" s="868"/>
      <c r="Q46" s="868"/>
      <c r="R46" s="868"/>
      <c r="S46" s="868"/>
    </row>
    <row r="47" spans="1:19" ht="16.5" customHeight="1">
      <c r="A47" s="868"/>
      <c r="B47" s="868"/>
      <c r="C47" s="868"/>
      <c r="D47" s="868"/>
      <c r="E47" s="868"/>
      <c r="F47" s="868"/>
      <c r="G47" s="868"/>
      <c r="H47" s="869"/>
      <c r="I47" s="868"/>
      <c r="J47" s="868"/>
      <c r="K47" s="868"/>
      <c r="L47" s="868"/>
      <c r="M47" s="868"/>
      <c r="N47" s="868"/>
      <c r="O47" s="868"/>
      <c r="P47" s="868"/>
      <c r="Q47" s="868"/>
      <c r="R47" s="868"/>
      <c r="S47" s="868"/>
    </row>
    <row r="48" spans="1:19" ht="16.5" customHeight="1">
      <c r="A48" s="868"/>
      <c r="B48" s="868"/>
      <c r="C48" s="868"/>
      <c r="D48" s="868"/>
      <c r="E48" s="868"/>
      <c r="F48" s="868"/>
      <c r="G48" s="868"/>
      <c r="H48" s="869"/>
      <c r="I48" s="868"/>
      <c r="J48" s="868"/>
      <c r="K48" s="868"/>
      <c r="L48" s="868"/>
      <c r="M48" s="868"/>
      <c r="N48" s="868"/>
      <c r="O48" s="868"/>
      <c r="P48" s="868"/>
      <c r="Q48" s="868"/>
      <c r="R48" s="868"/>
      <c r="S48" s="868"/>
    </row>
    <row r="49" spans="1:19" ht="16.5" customHeight="1">
      <c r="A49" s="868"/>
      <c r="B49" s="868"/>
      <c r="C49" s="868"/>
      <c r="D49" s="868"/>
      <c r="E49" s="868"/>
      <c r="F49" s="868"/>
      <c r="G49" s="868"/>
      <c r="H49" s="869"/>
      <c r="I49" s="868"/>
      <c r="J49" s="868"/>
      <c r="K49" s="868"/>
      <c r="L49" s="868"/>
      <c r="M49" s="868"/>
      <c r="N49" s="868"/>
      <c r="O49" s="868"/>
      <c r="P49" s="868"/>
      <c r="Q49" s="868"/>
      <c r="R49" s="868"/>
      <c r="S49" s="868"/>
    </row>
    <row r="50" spans="1:19" ht="16.5" customHeight="1">
      <c r="A50" s="868"/>
      <c r="B50" s="868"/>
      <c r="C50" s="868"/>
      <c r="D50" s="868"/>
      <c r="E50" s="868"/>
      <c r="F50" s="868"/>
      <c r="G50" s="868"/>
      <c r="H50" s="869"/>
      <c r="I50" s="868"/>
      <c r="J50" s="868"/>
      <c r="K50" s="868"/>
      <c r="L50" s="868"/>
      <c r="M50" s="868"/>
      <c r="N50" s="868"/>
      <c r="O50" s="868"/>
      <c r="P50" s="868"/>
      <c r="Q50" s="868"/>
      <c r="R50" s="868"/>
      <c r="S50" s="868"/>
    </row>
    <row r="51" spans="1:19" ht="16.5" customHeight="1">
      <c r="A51" s="868"/>
      <c r="B51" s="868"/>
      <c r="C51" s="868"/>
      <c r="D51" s="868"/>
      <c r="E51" s="868"/>
      <c r="F51" s="868"/>
      <c r="G51" s="868"/>
      <c r="H51" s="869"/>
      <c r="I51" s="868"/>
      <c r="J51" s="868"/>
      <c r="K51" s="868"/>
      <c r="L51" s="868"/>
      <c r="M51" s="868"/>
      <c r="N51" s="868"/>
      <c r="O51" s="868"/>
      <c r="P51" s="868"/>
      <c r="Q51" s="868"/>
      <c r="R51" s="868"/>
      <c r="S51" s="868"/>
    </row>
    <row r="52" spans="1:19" ht="16.5" customHeight="1">
      <c r="A52" s="868"/>
      <c r="B52" s="868"/>
      <c r="C52" s="868"/>
      <c r="D52" s="868"/>
      <c r="E52" s="868"/>
      <c r="F52" s="868"/>
      <c r="G52" s="868"/>
      <c r="H52" s="869"/>
      <c r="I52" s="868"/>
      <c r="J52" s="868"/>
      <c r="K52" s="868"/>
      <c r="L52" s="868"/>
      <c r="M52" s="868"/>
      <c r="N52" s="868"/>
      <c r="O52" s="868"/>
      <c r="P52" s="868"/>
      <c r="Q52" s="868"/>
      <c r="R52" s="868"/>
      <c r="S52" s="868"/>
    </row>
    <row r="53" spans="1:19" ht="16.5" customHeight="1">
      <c r="A53" s="868"/>
      <c r="B53" s="868"/>
      <c r="C53" s="868"/>
      <c r="D53" s="868"/>
      <c r="E53" s="868"/>
      <c r="F53" s="868"/>
      <c r="G53" s="868"/>
      <c r="H53" s="869"/>
      <c r="I53" s="868"/>
      <c r="J53" s="868"/>
      <c r="K53" s="868"/>
      <c r="L53" s="868"/>
      <c r="M53" s="868"/>
      <c r="N53" s="868"/>
      <c r="O53" s="868"/>
      <c r="P53" s="868"/>
      <c r="Q53" s="868"/>
      <c r="R53" s="868"/>
      <c r="S53" s="868"/>
    </row>
    <row r="54" spans="1:19" ht="16.5" customHeight="1">
      <c r="A54" s="868"/>
      <c r="B54" s="868"/>
      <c r="C54" s="868"/>
      <c r="D54" s="868"/>
      <c r="E54" s="868"/>
      <c r="F54" s="868"/>
      <c r="G54" s="868"/>
      <c r="H54" s="869"/>
      <c r="I54" s="868"/>
      <c r="J54" s="868"/>
      <c r="K54" s="868"/>
      <c r="L54" s="868"/>
      <c r="M54" s="868"/>
      <c r="N54" s="868"/>
      <c r="O54" s="868"/>
      <c r="P54" s="868"/>
      <c r="Q54" s="868"/>
      <c r="R54" s="868"/>
      <c r="S54" s="868"/>
    </row>
    <row r="55" spans="1:19" ht="16.5" customHeight="1">
      <c r="A55" s="868"/>
      <c r="B55" s="868"/>
      <c r="C55" s="868"/>
      <c r="D55" s="868"/>
      <c r="E55" s="868"/>
      <c r="F55" s="868"/>
      <c r="G55" s="868"/>
      <c r="H55" s="869"/>
      <c r="I55" s="868"/>
      <c r="J55" s="868"/>
      <c r="K55" s="868"/>
      <c r="L55" s="868"/>
      <c r="M55" s="868"/>
      <c r="N55" s="868"/>
      <c r="O55" s="868"/>
      <c r="P55" s="868"/>
      <c r="Q55" s="868"/>
      <c r="R55" s="868"/>
      <c r="S55" s="868"/>
    </row>
    <row r="56" spans="1:19" ht="16.5" customHeight="1">
      <c r="A56" s="868"/>
      <c r="B56" s="868"/>
      <c r="C56" s="868"/>
      <c r="D56" s="868"/>
      <c r="E56" s="868"/>
      <c r="F56" s="868"/>
      <c r="G56" s="868"/>
      <c r="H56" s="869"/>
      <c r="I56" s="868"/>
      <c r="J56" s="868"/>
      <c r="K56" s="868"/>
      <c r="L56" s="868"/>
      <c r="M56" s="868"/>
      <c r="N56" s="868"/>
      <c r="O56" s="868"/>
      <c r="P56" s="868"/>
      <c r="Q56" s="868"/>
      <c r="R56" s="868"/>
      <c r="S56" s="868"/>
    </row>
    <row r="57" spans="1:19" ht="16.5" customHeight="1">
      <c r="A57" s="868"/>
      <c r="B57" s="868"/>
      <c r="C57" s="868"/>
      <c r="D57" s="868"/>
      <c r="E57" s="868"/>
      <c r="F57" s="868"/>
      <c r="G57" s="868"/>
      <c r="H57" s="869"/>
      <c r="I57" s="868"/>
      <c r="J57" s="868"/>
      <c r="K57" s="868"/>
      <c r="L57" s="868"/>
      <c r="M57" s="868"/>
      <c r="N57" s="868"/>
      <c r="O57" s="868"/>
      <c r="P57" s="868"/>
      <c r="Q57" s="868"/>
      <c r="R57" s="868"/>
      <c r="S57" s="868"/>
    </row>
    <row r="58" spans="1:19" ht="16.5" customHeight="1">
      <c r="A58" s="868"/>
      <c r="B58" s="868"/>
      <c r="C58" s="868"/>
      <c r="D58" s="868"/>
      <c r="E58" s="868"/>
      <c r="F58" s="868"/>
      <c r="G58" s="868"/>
      <c r="H58" s="869"/>
      <c r="I58" s="868"/>
      <c r="J58" s="868"/>
      <c r="K58" s="868"/>
      <c r="L58" s="868"/>
      <c r="M58" s="868"/>
      <c r="N58" s="868"/>
      <c r="O58" s="868"/>
      <c r="P58" s="868"/>
      <c r="Q58" s="868"/>
      <c r="R58" s="868"/>
      <c r="S58" s="868"/>
    </row>
    <row r="59" spans="1:19" ht="16.5" customHeight="1">
      <c r="A59" s="868"/>
      <c r="B59" s="868"/>
      <c r="C59" s="868"/>
      <c r="D59" s="868"/>
      <c r="E59" s="868"/>
      <c r="F59" s="868"/>
      <c r="G59" s="868"/>
      <c r="H59" s="869"/>
      <c r="I59" s="868"/>
      <c r="J59" s="868"/>
      <c r="K59" s="868"/>
      <c r="L59" s="868"/>
      <c r="M59" s="868"/>
      <c r="N59" s="868"/>
      <c r="O59" s="868"/>
      <c r="P59" s="868"/>
      <c r="Q59" s="868"/>
      <c r="R59" s="868"/>
      <c r="S59" s="868"/>
    </row>
    <row r="60" spans="1:19" ht="16.5" customHeight="1">
      <c r="A60" s="868"/>
      <c r="B60" s="868"/>
      <c r="C60" s="868"/>
      <c r="D60" s="868"/>
      <c r="E60" s="868"/>
      <c r="F60" s="868"/>
      <c r="G60" s="868"/>
      <c r="H60" s="869"/>
      <c r="I60" s="868"/>
      <c r="J60" s="868"/>
      <c r="K60" s="868"/>
      <c r="L60" s="868"/>
      <c r="M60" s="868"/>
      <c r="N60" s="868"/>
      <c r="O60" s="868"/>
      <c r="P60" s="868"/>
      <c r="Q60" s="868"/>
      <c r="R60" s="868"/>
      <c r="S60" s="868"/>
    </row>
    <row r="61" spans="1:19" ht="16.5" customHeight="1">
      <c r="A61" s="868"/>
      <c r="B61" s="868"/>
      <c r="C61" s="868"/>
      <c r="D61" s="868"/>
      <c r="E61" s="868"/>
      <c r="F61" s="868"/>
      <c r="G61" s="868"/>
      <c r="H61" s="869"/>
      <c r="I61" s="868"/>
      <c r="J61" s="868"/>
      <c r="K61" s="868"/>
      <c r="L61" s="868"/>
      <c r="M61" s="868"/>
      <c r="N61" s="868"/>
      <c r="O61" s="868"/>
      <c r="P61" s="868"/>
      <c r="Q61" s="868"/>
      <c r="R61" s="868"/>
      <c r="S61" s="868"/>
    </row>
    <row r="62" spans="1:19" ht="16.5" customHeight="1">
      <c r="A62" s="868"/>
      <c r="B62" s="868"/>
      <c r="C62" s="868"/>
      <c r="D62" s="868"/>
      <c r="E62" s="868"/>
      <c r="F62" s="868"/>
      <c r="G62" s="868"/>
      <c r="H62" s="869"/>
      <c r="I62" s="868"/>
      <c r="J62" s="868"/>
      <c r="K62" s="868"/>
      <c r="L62" s="868"/>
      <c r="M62" s="868"/>
      <c r="N62" s="868"/>
      <c r="O62" s="868"/>
      <c r="P62" s="868"/>
      <c r="Q62" s="868"/>
      <c r="R62" s="868"/>
      <c r="S62" s="868"/>
    </row>
    <row r="63" spans="1:19" ht="16.5" customHeight="1">
      <c r="A63" s="868"/>
      <c r="B63" s="868"/>
      <c r="C63" s="868"/>
      <c r="D63" s="868"/>
      <c r="E63" s="868"/>
      <c r="F63" s="868"/>
      <c r="G63" s="868"/>
      <c r="H63" s="869"/>
      <c r="I63" s="868"/>
      <c r="J63" s="868"/>
      <c r="K63" s="868"/>
      <c r="L63" s="868"/>
      <c r="M63" s="868"/>
      <c r="N63" s="868"/>
      <c r="O63" s="868"/>
      <c r="P63" s="868"/>
      <c r="Q63" s="868"/>
      <c r="R63" s="868"/>
      <c r="S63" s="868"/>
    </row>
    <row r="64" spans="1:19" ht="16.5" customHeight="1">
      <c r="A64" s="868"/>
      <c r="B64" s="868"/>
      <c r="C64" s="868"/>
      <c r="D64" s="868"/>
      <c r="E64" s="868"/>
      <c r="F64" s="868"/>
      <c r="G64" s="868"/>
      <c r="H64" s="869"/>
      <c r="I64" s="868"/>
      <c r="J64" s="868"/>
      <c r="K64" s="868"/>
      <c r="L64" s="868"/>
      <c r="M64" s="868"/>
      <c r="N64" s="868"/>
      <c r="O64" s="868"/>
      <c r="P64" s="868"/>
      <c r="Q64" s="868"/>
      <c r="R64" s="868"/>
      <c r="S64" s="868"/>
    </row>
    <row r="65" spans="1:19" ht="16.5" customHeight="1">
      <c r="A65" s="868"/>
      <c r="B65" s="868"/>
      <c r="C65" s="868"/>
      <c r="D65" s="868"/>
      <c r="E65" s="868"/>
      <c r="F65" s="868"/>
      <c r="G65" s="868"/>
      <c r="H65" s="869"/>
      <c r="I65" s="868"/>
      <c r="J65" s="868"/>
      <c r="K65" s="868"/>
      <c r="L65" s="868"/>
      <c r="M65" s="868"/>
      <c r="N65" s="868"/>
      <c r="O65" s="868"/>
      <c r="P65" s="868"/>
      <c r="Q65" s="868"/>
      <c r="R65" s="868"/>
      <c r="S65" s="868"/>
    </row>
    <row r="66" spans="1:19" ht="16.5" customHeight="1">
      <c r="A66" s="868"/>
      <c r="B66" s="868"/>
      <c r="C66" s="868"/>
      <c r="D66" s="868"/>
      <c r="E66" s="868"/>
      <c r="F66" s="868"/>
      <c r="G66" s="868"/>
      <c r="H66" s="869"/>
      <c r="I66" s="868"/>
      <c r="J66" s="868"/>
      <c r="K66" s="868"/>
      <c r="L66" s="868"/>
      <c r="M66" s="868"/>
      <c r="N66" s="868"/>
      <c r="O66" s="868"/>
      <c r="P66" s="868"/>
      <c r="Q66" s="868"/>
      <c r="R66" s="868"/>
      <c r="S66" s="868"/>
    </row>
    <row r="67" spans="1:19" ht="16.5" customHeight="1">
      <c r="A67" s="868"/>
      <c r="B67" s="868"/>
      <c r="C67" s="868"/>
      <c r="D67" s="868"/>
      <c r="E67" s="868"/>
      <c r="F67" s="868"/>
      <c r="G67" s="868"/>
      <c r="H67" s="869"/>
      <c r="I67" s="868"/>
      <c r="J67" s="868"/>
      <c r="K67" s="868"/>
      <c r="L67" s="868"/>
      <c r="M67" s="868"/>
      <c r="N67" s="868"/>
      <c r="O67" s="868"/>
      <c r="P67" s="868"/>
      <c r="Q67" s="868"/>
      <c r="R67" s="868"/>
      <c r="S67" s="868"/>
    </row>
    <row r="68" spans="1:19" ht="16.5" customHeight="1">
      <c r="A68" s="868"/>
      <c r="B68" s="868"/>
      <c r="C68" s="868"/>
      <c r="D68" s="868"/>
      <c r="E68" s="868"/>
      <c r="F68" s="868"/>
      <c r="G68" s="868"/>
      <c r="H68" s="869"/>
      <c r="I68" s="868"/>
      <c r="J68" s="868"/>
      <c r="K68" s="868"/>
      <c r="L68" s="868"/>
      <c r="M68" s="868"/>
      <c r="N68" s="868"/>
      <c r="O68" s="868"/>
      <c r="P68" s="868"/>
      <c r="Q68" s="868"/>
      <c r="R68" s="868"/>
      <c r="S68" s="868"/>
    </row>
    <row r="69" spans="1:19" ht="16.5" customHeight="1">
      <c r="A69" s="868"/>
      <c r="B69" s="868"/>
      <c r="C69" s="868"/>
      <c r="D69" s="868"/>
      <c r="E69" s="868"/>
      <c r="F69" s="868"/>
      <c r="G69" s="868"/>
      <c r="H69" s="869"/>
      <c r="I69" s="868"/>
      <c r="J69" s="868"/>
      <c r="K69" s="868"/>
      <c r="L69" s="868"/>
      <c r="M69" s="868"/>
      <c r="N69" s="868"/>
      <c r="O69" s="868"/>
      <c r="P69" s="868"/>
      <c r="Q69" s="868"/>
      <c r="R69" s="868"/>
      <c r="S69" s="868"/>
    </row>
    <row r="70" spans="1:19" ht="16.5" customHeight="1">
      <c r="A70" s="868"/>
      <c r="B70" s="868"/>
      <c r="C70" s="868"/>
      <c r="D70" s="868"/>
      <c r="E70" s="868"/>
      <c r="F70" s="868"/>
      <c r="G70" s="868"/>
      <c r="H70" s="869"/>
      <c r="I70" s="868"/>
      <c r="J70" s="868"/>
      <c r="K70" s="868"/>
      <c r="L70" s="868"/>
      <c r="M70" s="868"/>
      <c r="N70" s="868"/>
      <c r="O70" s="868"/>
      <c r="P70" s="868"/>
      <c r="Q70" s="868"/>
      <c r="R70" s="868"/>
      <c r="S70" s="868"/>
    </row>
    <row r="71" spans="1:19" ht="16.5" customHeight="1">
      <c r="A71" s="868"/>
      <c r="B71" s="868"/>
      <c r="C71" s="868"/>
      <c r="D71" s="868"/>
      <c r="E71" s="868"/>
      <c r="F71" s="868"/>
      <c r="G71" s="868"/>
      <c r="H71" s="869"/>
      <c r="I71" s="868"/>
      <c r="J71" s="868"/>
      <c r="K71" s="868"/>
      <c r="L71" s="868"/>
      <c r="M71" s="868"/>
      <c r="N71" s="868"/>
      <c r="O71" s="868"/>
      <c r="P71" s="868"/>
      <c r="Q71" s="868"/>
      <c r="R71" s="868"/>
      <c r="S71" s="868"/>
    </row>
    <row r="72" spans="1:19" ht="16.5" customHeight="1">
      <c r="A72" s="868"/>
      <c r="B72" s="868"/>
      <c r="C72" s="868"/>
      <c r="D72" s="868"/>
      <c r="E72" s="868"/>
      <c r="F72" s="868"/>
      <c r="G72" s="868"/>
      <c r="H72" s="869"/>
      <c r="I72" s="868"/>
      <c r="J72" s="868"/>
      <c r="K72" s="868"/>
      <c r="L72" s="868"/>
      <c r="M72" s="868"/>
      <c r="N72" s="868"/>
      <c r="O72" s="868"/>
      <c r="P72" s="868"/>
      <c r="Q72" s="868"/>
      <c r="R72" s="868"/>
      <c r="S72" s="868"/>
    </row>
    <row r="73" spans="1:19" ht="16.5" customHeight="1">
      <c r="A73" s="868"/>
      <c r="B73" s="868"/>
      <c r="C73" s="868"/>
      <c r="D73" s="868"/>
      <c r="E73" s="868"/>
      <c r="F73" s="868"/>
      <c r="G73" s="868"/>
      <c r="H73" s="869"/>
      <c r="I73" s="868"/>
      <c r="J73" s="868"/>
      <c r="K73" s="868"/>
      <c r="L73" s="868"/>
      <c r="M73" s="868"/>
      <c r="N73" s="868"/>
      <c r="O73" s="868"/>
      <c r="P73" s="868"/>
      <c r="Q73" s="868"/>
      <c r="R73" s="868"/>
      <c r="S73" s="868"/>
    </row>
    <row r="74" spans="1:19" ht="16.5" customHeight="1">
      <c r="A74" s="868"/>
      <c r="B74" s="868"/>
      <c r="C74" s="868"/>
      <c r="D74" s="868"/>
      <c r="E74" s="868"/>
      <c r="F74" s="868"/>
      <c r="G74" s="868"/>
      <c r="H74" s="869"/>
      <c r="I74" s="868"/>
      <c r="J74" s="868"/>
      <c r="K74" s="868"/>
      <c r="L74" s="868"/>
      <c r="M74" s="868"/>
      <c r="N74" s="868"/>
      <c r="O74" s="868"/>
      <c r="P74" s="868"/>
      <c r="Q74" s="868"/>
      <c r="R74" s="868"/>
      <c r="S74" s="868"/>
    </row>
    <row r="75" spans="1:19" ht="16.5" customHeight="1">
      <c r="A75" s="868"/>
      <c r="B75" s="868"/>
      <c r="C75" s="868"/>
      <c r="D75" s="868"/>
      <c r="E75" s="868"/>
      <c r="F75" s="868"/>
      <c r="G75" s="868"/>
      <c r="H75" s="869"/>
      <c r="I75" s="868"/>
      <c r="J75" s="868"/>
      <c r="K75" s="868"/>
      <c r="L75" s="868"/>
      <c r="M75" s="868"/>
      <c r="N75" s="868"/>
      <c r="O75" s="868"/>
      <c r="P75" s="868"/>
      <c r="Q75" s="868"/>
      <c r="R75" s="868"/>
      <c r="S75" s="868"/>
    </row>
    <row r="76" spans="1:19" ht="16.5" customHeight="1">
      <c r="A76" s="868"/>
      <c r="B76" s="868"/>
      <c r="C76" s="868"/>
      <c r="D76" s="868"/>
      <c r="E76" s="868"/>
      <c r="F76" s="868"/>
      <c r="G76" s="868"/>
      <c r="H76" s="869"/>
      <c r="I76" s="868"/>
      <c r="J76" s="868"/>
      <c r="K76" s="868"/>
      <c r="L76" s="868"/>
      <c r="M76" s="868"/>
      <c r="N76" s="868"/>
      <c r="O76" s="868"/>
      <c r="P76" s="868"/>
      <c r="Q76" s="868"/>
      <c r="R76" s="868"/>
      <c r="S76" s="868"/>
    </row>
    <row r="77" spans="1:19" ht="16.5" customHeight="1">
      <c r="A77" s="868"/>
      <c r="B77" s="868"/>
      <c r="C77" s="868"/>
      <c r="D77" s="868"/>
      <c r="E77" s="868"/>
      <c r="F77" s="868"/>
      <c r="G77" s="868"/>
      <c r="H77" s="869"/>
      <c r="I77" s="868"/>
      <c r="J77" s="868"/>
      <c r="K77" s="868"/>
      <c r="L77" s="868"/>
      <c r="M77" s="868"/>
      <c r="N77" s="868"/>
      <c r="O77" s="868"/>
      <c r="P77" s="868"/>
      <c r="Q77" s="868"/>
      <c r="R77" s="868"/>
      <c r="S77" s="868"/>
    </row>
    <row r="78" spans="1:19" ht="16.5" customHeight="1">
      <c r="A78" s="868"/>
      <c r="B78" s="868"/>
      <c r="C78" s="868"/>
      <c r="D78" s="868"/>
      <c r="E78" s="868"/>
      <c r="F78" s="868"/>
      <c r="G78" s="868"/>
      <c r="H78" s="869"/>
      <c r="I78" s="868"/>
      <c r="J78" s="868"/>
      <c r="K78" s="868"/>
      <c r="L78" s="868"/>
      <c r="M78" s="868"/>
      <c r="N78" s="868"/>
      <c r="O78" s="868"/>
      <c r="P78" s="868"/>
      <c r="Q78" s="868"/>
      <c r="R78" s="868"/>
      <c r="S78" s="868"/>
    </row>
    <row r="79" spans="1:19" ht="16.5" customHeight="1">
      <c r="A79" s="868"/>
      <c r="B79" s="868"/>
      <c r="C79" s="868"/>
      <c r="D79" s="868"/>
      <c r="E79" s="868"/>
      <c r="F79" s="868"/>
      <c r="G79" s="868"/>
      <c r="H79" s="869"/>
      <c r="I79" s="868"/>
      <c r="J79" s="868"/>
      <c r="K79" s="868"/>
      <c r="L79" s="868"/>
      <c r="M79" s="868"/>
      <c r="N79" s="868"/>
      <c r="O79" s="868"/>
      <c r="P79" s="868"/>
      <c r="Q79" s="868"/>
      <c r="R79" s="868"/>
      <c r="S79" s="868"/>
    </row>
    <row r="80" spans="1:19" ht="16.5" customHeight="1">
      <c r="A80" s="868"/>
      <c r="B80" s="868"/>
      <c r="C80" s="868"/>
      <c r="D80" s="868"/>
      <c r="E80" s="868"/>
      <c r="F80" s="868"/>
      <c r="G80" s="868"/>
      <c r="H80" s="869"/>
      <c r="I80" s="868"/>
      <c r="J80" s="868"/>
      <c r="K80" s="868"/>
      <c r="L80" s="868"/>
      <c r="M80" s="868"/>
      <c r="N80" s="868"/>
      <c r="O80" s="868"/>
      <c r="P80" s="868"/>
      <c r="Q80" s="868"/>
      <c r="R80" s="868"/>
      <c r="S80" s="868"/>
    </row>
    <row r="81" spans="1:19" ht="16.5" customHeight="1">
      <c r="A81" s="868"/>
      <c r="B81" s="868"/>
      <c r="C81" s="868"/>
      <c r="D81" s="868"/>
      <c r="E81" s="868"/>
      <c r="F81" s="868"/>
      <c r="G81" s="868"/>
      <c r="H81" s="869"/>
      <c r="I81" s="868"/>
      <c r="J81" s="868"/>
      <c r="K81" s="868"/>
      <c r="L81" s="868"/>
      <c r="M81" s="868"/>
      <c r="N81" s="868"/>
      <c r="O81" s="868"/>
      <c r="P81" s="868"/>
      <c r="Q81" s="868"/>
      <c r="R81" s="868"/>
      <c r="S81" s="868"/>
    </row>
    <row r="82" spans="1:19" ht="16.5" customHeight="1">
      <c r="A82" s="868"/>
      <c r="B82" s="868"/>
      <c r="C82" s="868"/>
      <c r="D82" s="868"/>
      <c r="E82" s="868"/>
      <c r="F82" s="868"/>
      <c r="G82" s="868"/>
      <c r="H82" s="869"/>
      <c r="I82" s="868"/>
      <c r="J82" s="868"/>
      <c r="K82" s="868"/>
      <c r="L82" s="868"/>
      <c r="M82" s="868"/>
      <c r="N82" s="868"/>
      <c r="O82" s="868"/>
      <c r="P82" s="868"/>
      <c r="Q82" s="868"/>
      <c r="R82" s="868"/>
      <c r="S82" s="868"/>
    </row>
    <row r="83" spans="1:19" ht="16.5" customHeight="1">
      <c r="A83" s="868"/>
      <c r="B83" s="868"/>
      <c r="C83" s="868"/>
      <c r="D83" s="868"/>
      <c r="E83" s="868"/>
      <c r="F83" s="868"/>
      <c r="G83" s="868"/>
      <c r="H83" s="869"/>
      <c r="I83" s="868"/>
      <c r="J83" s="868"/>
      <c r="K83" s="868"/>
      <c r="L83" s="868"/>
      <c r="M83" s="868"/>
      <c r="N83" s="868"/>
      <c r="O83" s="868"/>
      <c r="P83" s="868"/>
      <c r="Q83" s="868"/>
      <c r="R83" s="868"/>
      <c r="S83" s="868"/>
    </row>
    <row r="84" spans="1:19" ht="16.5" customHeight="1">
      <c r="A84" s="868"/>
      <c r="B84" s="868"/>
      <c r="C84" s="868"/>
      <c r="D84" s="868"/>
      <c r="E84" s="868"/>
      <c r="F84" s="868"/>
      <c r="G84" s="868"/>
      <c r="H84" s="869"/>
      <c r="I84" s="868"/>
      <c r="J84" s="868"/>
      <c r="K84" s="868"/>
      <c r="L84" s="868"/>
      <c r="M84" s="868"/>
      <c r="N84" s="868"/>
      <c r="O84" s="868"/>
      <c r="P84" s="868"/>
      <c r="Q84" s="868"/>
      <c r="R84" s="868"/>
      <c r="S84" s="868"/>
    </row>
    <row r="85" spans="1:19" ht="16.5" customHeight="1">
      <c r="A85" s="868"/>
      <c r="B85" s="868"/>
      <c r="C85" s="868"/>
      <c r="D85" s="868"/>
      <c r="E85" s="868"/>
      <c r="F85" s="868"/>
      <c r="G85" s="868"/>
      <c r="H85" s="869"/>
      <c r="I85" s="868"/>
      <c r="J85" s="868"/>
      <c r="K85" s="868"/>
      <c r="L85" s="868"/>
      <c r="M85" s="868"/>
      <c r="N85" s="868"/>
      <c r="O85" s="868"/>
      <c r="P85" s="868"/>
      <c r="Q85" s="868"/>
      <c r="R85" s="868"/>
      <c r="S85" s="868"/>
    </row>
    <row r="86" spans="1:19" ht="16.5" customHeight="1">
      <c r="A86" s="868"/>
      <c r="B86" s="868"/>
      <c r="C86" s="868"/>
      <c r="D86" s="868"/>
      <c r="E86" s="868"/>
      <c r="F86" s="868"/>
      <c r="G86" s="868"/>
      <c r="H86" s="869"/>
      <c r="I86" s="868"/>
      <c r="J86" s="868"/>
      <c r="K86" s="868"/>
      <c r="L86" s="868"/>
      <c r="M86" s="868"/>
      <c r="N86" s="868"/>
      <c r="O86" s="868"/>
      <c r="P86" s="868"/>
      <c r="Q86" s="868"/>
      <c r="R86" s="868"/>
      <c r="S86" s="868"/>
    </row>
    <row r="87" spans="1:19" ht="16.5" customHeight="1">
      <c r="A87" s="868"/>
      <c r="B87" s="868"/>
      <c r="C87" s="868"/>
      <c r="D87" s="868"/>
      <c r="E87" s="868"/>
      <c r="F87" s="868"/>
      <c r="G87" s="868"/>
      <c r="H87" s="869"/>
      <c r="I87" s="868"/>
      <c r="J87" s="868"/>
      <c r="K87" s="868"/>
      <c r="L87" s="868"/>
      <c r="M87" s="868"/>
      <c r="N87" s="868"/>
      <c r="O87" s="868"/>
      <c r="P87" s="868"/>
      <c r="Q87" s="868"/>
      <c r="R87" s="868"/>
      <c r="S87" s="868"/>
    </row>
    <row r="88" spans="1:19" ht="16.5" customHeight="1">
      <c r="A88" s="868"/>
      <c r="B88" s="868"/>
      <c r="C88" s="868"/>
      <c r="D88" s="868"/>
      <c r="E88" s="868"/>
      <c r="F88" s="868"/>
      <c r="G88" s="868"/>
      <c r="H88" s="869"/>
      <c r="I88" s="868"/>
      <c r="J88" s="868"/>
      <c r="K88" s="868"/>
      <c r="L88" s="868"/>
      <c r="M88" s="868"/>
      <c r="N88" s="868"/>
      <c r="O88" s="868"/>
      <c r="P88" s="868"/>
      <c r="Q88" s="868"/>
      <c r="R88" s="868"/>
      <c r="S88" s="868"/>
    </row>
    <row r="89" spans="1:19" ht="16.5" customHeight="1">
      <c r="A89" s="868"/>
      <c r="B89" s="868"/>
      <c r="C89" s="868"/>
      <c r="D89" s="868"/>
      <c r="E89" s="868"/>
      <c r="F89" s="868"/>
      <c r="G89" s="868"/>
      <c r="H89" s="869"/>
      <c r="I89" s="868"/>
      <c r="J89" s="868"/>
      <c r="K89" s="868"/>
      <c r="L89" s="868"/>
      <c r="M89" s="868"/>
      <c r="N89" s="868"/>
      <c r="O89" s="868"/>
      <c r="P89" s="868"/>
      <c r="Q89" s="868"/>
      <c r="R89" s="868"/>
      <c r="S89" s="868"/>
    </row>
    <row r="90" spans="1:19" ht="16.5" customHeight="1">
      <c r="A90" s="868"/>
      <c r="B90" s="868"/>
      <c r="C90" s="868"/>
      <c r="D90" s="868"/>
      <c r="E90" s="868"/>
      <c r="F90" s="868"/>
      <c r="G90" s="868"/>
      <c r="H90" s="869"/>
      <c r="I90" s="868"/>
      <c r="J90" s="868"/>
      <c r="K90" s="868"/>
      <c r="L90" s="868"/>
      <c r="M90" s="868"/>
      <c r="N90" s="868"/>
      <c r="O90" s="868"/>
      <c r="P90" s="868"/>
      <c r="Q90" s="868"/>
      <c r="R90" s="868"/>
      <c r="S90" s="868"/>
    </row>
    <row r="91" spans="1:19" ht="16.5" customHeight="1">
      <c r="A91" s="868"/>
      <c r="B91" s="868"/>
      <c r="C91" s="868"/>
      <c r="D91" s="868"/>
      <c r="E91" s="868"/>
      <c r="F91" s="868"/>
      <c r="G91" s="868"/>
      <c r="H91" s="869"/>
      <c r="I91" s="868"/>
      <c r="J91" s="868"/>
      <c r="K91" s="868"/>
      <c r="L91" s="868"/>
      <c r="M91" s="868"/>
      <c r="N91" s="868"/>
      <c r="O91" s="868"/>
      <c r="P91" s="868"/>
      <c r="Q91" s="868"/>
      <c r="R91" s="868"/>
      <c r="S91" s="868"/>
    </row>
    <row r="92" spans="1:19" ht="16.5" customHeight="1">
      <c r="A92" s="868"/>
      <c r="B92" s="868"/>
      <c r="C92" s="868"/>
      <c r="D92" s="868"/>
      <c r="E92" s="868"/>
      <c r="F92" s="868"/>
      <c r="G92" s="868"/>
      <c r="H92" s="869"/>
      <c r="I92" s="868"/>
      <c r="J92" s="868"/>
      <c r="K92" s="868"/>
      <c r="L92" s="868"/>
      <c r="M92" s="868"/>
      <c r="N92" s="868"/>
      <c r="O92" s="868"/>
      <c r="P92" s="868"/>
      <c r="Q92" s="868"/>
      <c r="R92" s="868"/>
      <c r="S92" s="868"/>
    </row>
    <row r="93" spans="1:19" ht="16.5" customHeight="1">
      <c r="A93" s="868"/>
      <c r="B93" s="868"/>
      <c r="C93" s="868"/>
      <c r="D93" s="868"/>
      <c r="E93" s="868"/>
      <c r="F93" s="868"/>
      <c r="G93" s="868"/>
      <c r="H93" s="869"/>
      <c r="I93" s="868"/>
      <c r="J93" s="868"/>
      <c r="K93" s="868"/>
      <c r="L93" s="868"/>
      <c r="M93" s="868"/>
      <c r="N93" s="868"/>
      <c r="O93" s="868"/>
      <c r="P93" s="868"/>
      <c r="Q93" s="868"/>
      <c r="R93" s="868"/>
      <c r="S93" s="868"/>
    </row>
    <row r="94" spans="1:19" ht="16.5" customHeight="1">
      <c r="A94" s="868"/>
      <c r="B94" s="868"/>
      <c r="C94" s="868"/>
      <c r="D94" s="868"/>
      <c r="E94" s="868"/>
      <c r="F94" s="868"/>
      <c r="G94" s="868"/>
      <c r="H94" s="869"/>
      <c r="I94" s="868"/>
      <c r="J94" s="868"/>
      <c r="K94" s="868"/>
      <c r="L94" s="868"/>
      <c r="M94" s="868"/>
      <c r="N94" s="868"/>
      <c r="O94" s="868"/>
      <c r="P94" s="868"/>
      <c r="Q94" s="868"/>
      <c r="R94" s="868"/>
      <c r="S94" s="868"/>
    </row>
    <row r="95" spans="1:19" ht="16.5" customHeight="1">
      <c r="A95" s="868"/>
      <c r="B95" s="868"/>
      <c r="C95" s="868"/>
      <c r="D95" s="868"/>
      <c r="E95" s="868"/>
      <c r="F95" s="868"/>
      <c r="G95" s="868"/>
      <c r="H95" s="869"/>
      <c r="I95" s="868"/>
      <c r="J95" s="868"/>
      <c r="K95" s="868"/>
      <c r="L95" s="868"/>
      <c r="M95" s="868"/>
      <c r="N95" s="868"/>
      <c r="O95" s="868"/>
      <c r="P95" s="868"/>
      <c r="Q95" s="868"/>
      <c r="R95" s="868"/>
      <c r="S95" s="868"/>
    </row>
    <row r="96" spans="1:19" ht="16.5" customHeight="1">
      <c r="A96" s="868"/>
      <c r="B96" s="868"/>
      <c r="C96" s="868"/>
      <c r="D96" s="868"/>
      <c r="E96" s="868"/>
      <c r="F96" s="868"/>
      <c r="G96" s="868"/>
      <c r="H96" s="869"/>
      <c r="I96" s="868"/>
      <c r="J96" s="868"/>
      <c r="K96" s="868"/>
      <c r="L96" s="868"/>
      <c r="M96" s="868"/>
      <c r="N96" s="868"/>
      <c r="O96" s="868"/>
      <c r="P96" s="868"/>
      <c r="Q96" s="868"/>
      <c r="R96" s="868"/>
      <c r="S96" s="868"/>
    </row>
    <row r="97" spans="1:19" ht="16.5" customHeight="1">
      <c r="A97" s="868"/>
      <c r="B97" s="868"/>
      <c r="C97" s="868"/>
      <c r="D97" s="868"/>
      <c r="E97" s="868"/>
      <c r="F97" s="868"/>
      <c r="G97" s="868"/>
      <c r="H97" s="869"/>
      <c r="I97" s="868"/>
      <c r="J97" s="868"/>
      <c r="K97" s="868"/>
      <c r="L97" s="868"/>
      <c r="M97" s="868"/>
      <c r="N97" s="868"/>
      <c r="O97" s="868"/>
      <c r="P97" s="868"/>
      <c r="Q97" s="868"/>
      <c r="R97" s="868"/>
      <c r="S97" s="868"/>
    </row>
    <row r="98" spans="1:19" ht="16.5" customHeight="1">
      <c r="A98" s="868"/>
      <c r="B98" s="868"/>
      <c r="C98" s="868"/>
      <c r="D98" s="868"/>
      <c r="E98" s="868"/>
      <c r="F98" s="868"/>
      <c r="G98" s="868"/>
      <c r="H98" s="869"/>
      <c r="I98" s="868"/>
      <c r="J98" s="868"/>
      <c r="K98" s="868"/>
      <c r="L98" s="868"/>
      <c r="M98" s="868"/>
      <c r="N98" s="868"/>
      <c r="O98" s="868"/>
      <c r="P98" s="868"/>
      <c r="Q98" s="868"/>
      <c r="R98" s="868"/>
      <c r="S98" s="868"/>
    </row>
    <row r="99" spans="1:19" ht="16.5" customHeight="1">
      <c r="A99" s="868"/>
      <c r="B99" s="868"/>
      <c r="C99" s="868"/>
      <c r="D99" s="868"/>
      <c r="E99" s="868"/>
      <c r="F99" s="868"/>
      <c r="G99" s="868"/>
      <c r="H99" s="869"/>
      <c r="I99" s="868"/>
      <c r="J99" s="868"/>
      <c r="K99" s="868"/>
      <c r="L99" s="868"/>
      <c r="M99" s="868"/>
      <c r="N99" s="868"/>
      <c r="O99" s="868"/>
      <c r="P99" s="868"/>
      <c r="Q99" s="868"/>
      <c r="R99" s="868"/>
      <c r="S99" s="868"/>
    </row>
    <row r="100" spans="1:19" ht="16.5" customHeight="1">
      <c r="A100" s="868"/>
      <c r="B100" s="868"/>
      <c r="C100" s="868"/>
      <c r="D100" s="868"/>
      <c r="E100" s="868"/>
      <c r="F100" s="868"/>
      <c r="G100" s="868"/>
      <c r="H100" s="869"/>
      <c r="I100" s="868"/>
      <c r="J100" s="868"/>
      <c r="K100" s="868"/>
      <c r="L100" s="868"/>
      <c r="M100" s="868"/>
      <c r="N100" s="868"/>
      <c r="O100" s="868"/>
      <c r="P100" s="868"/>
      <c r="Q100" s="868"/>
      <c r="R100" s="868"/>
      <c r="S100" s="868"/>
    </row>
    <row r="101" spans="1:19" ht="16.5" customHeight="1">
      <c r="A101" s="868"/>
      <c r="B101" s="868"/>
      <c r="C101" s="868"/>
      <c r="D101" s="868"/>
      <c r="E101" s="868"/>
      <c r="F101" s="868"/>
      <c r="G101" s="868"/>
      <c r="H101" s="869"/>
      <c r="I101" s="868"/>
      <c r="J101" s="868"/>
      <c r="K101" s="868"/>
      <c r="L101" s="868"/>
      <c r="M101" s="868"/>
      <c r="N101" s="868"/>
      <c r="O101" s="868"/>
      <c r="P101" s="868"/>
      <c r="Q101" s="868"/>
      <c r="R101" s="868"/>
      <c r="S101" s="868"/>
    </row>
    <row r="102" spans="1:19" ht="16.5" customHeight="1">
      <c r="A102" s="868"/>
      <c r="B102" s="868"/>
      <c r="C102" s="868"/>
      <c r="D102" s="868"/>
      <c r="E102" s="868"/>
      <c r="F102" s="868"/>
      <c r="G102" s="868"/>
      <c r="H102" s="869"/>
      <c r="I102" s="868"/>
      <c r="J102" s="868"/>
      <c r="K102" s="868"/>
      <c r="L102" s="868"/>
      <c r="M102" s="868"/>
      <c r="N102" s="868"/>
      <c r="O102" s="868"/>
      <c r="P102" s="868"/>
      <c r="Q102" s="868"/>
      <c r="R102" s="868"/>
      <c r="S102" s="868"/>
    </row>
    <row r="103" spans="1:19" ht="16.5" customHeight="1">
      <c r="A103" s="868"/>
      <c r="B103" s="868"/>
      <c r="C103" s="868"/>
      <c r="D103" s="868"/>
      <c r="E103" s="868"/>
      <c r="F103" s="868"/>
      <c r="G103" s="868"/>
      <c r="H103" s="869"/>
      <c r="I103" s="868"/>
      <c r="J103" s="868"/>
      <c r="K103" s="868"/>
      <c r="L103" s="868"/>
      <c r="M103" s="868"/>
      <c r="N103" s="868"/>
      <c r="O103" s="868"/>
      <c r="P103" s="868"/>
      <c r="Q103" s="868"/>
      <c r="R103" s="868"/>
      <c r="S103" s="868"/>
    </row>
    <row r="104" spans="1:19" ht="16.5" customHeight="1">
      <c r="A104" s="868"/>
      <c r="B104" s="868"/>
      <c r="C104" s="868"/>
      <c r="D104" s="868"/>
      <c r="E104" s="868"/>
      <c r="F104" s="868"/>
      <c r="G104" s="868"/>
      <c r="H104" s="869"/>
      <c r="I104" s="868"/>
      <c r="J104" s="868"/>
      <c r="K104" s="868"/>
      <c r="L104" s="868"/>
      <c r="M104" s="868"/>
      <c r="N104" s="868"/>
      <c r="O104" s="868"/>
      <c r="P104" s="868"/>
      <c r="Q104" s="868"/>
      <c r="R104" s="868"/>
      <c r="S104" s="868"/>
    </row>
    <row r="105" spans="1:19" ht="16.5" customHeight="1">
      <c r="A105" s="868"/>
      <c r="B105" s="868"/>
      <c r="C105" s="868"/>
      <c r="D105" s="868"/>
      <c r="E105" s="868"/>
      <c r="F105" s="868"/>
      <c r="G105" s="868"/>
      <c r="H105" s="869"/>
      <c r="I105" s="868"/>
      <c r="J105" s="868"/>
      <c r="K105" s="868"/>
      <c r="L105" s="868"/>
      <c r="M105" s="868"/>
      <c r="N105" s="868"/>
      <c r="O105" s="868"/>
      <c r="P105" s="868"/>
      <c r="Q105" s="868"/>
      <c r="R105" s="868"/>
      <c r="S105" s="868"/>
    </row>
    <row r="106" spans="1:19" ht="16.5" customHeight="1">
      <c r="A106" s="868"/>
      <c r="B106" s="868"/>
      <c r="C106" s="868"/>
      <c r="D106" s="868"/>
      <c r="E106" s="868"/>
      <c r="F106" s="868"/>
      <c r="G106" s="868"/>
      <c r="H106" s="869"/>
      <c r="I106" s="868"/>
      <c r="J106" s="868"/>
      <c r="K106" s="868"/>
      <c r="L106" s="868"/>
      <c r="M106" s="868"/>
      <c r="N106" s="868"/>
      <c r="O106" s="868"/>
      <c r="P106" s="868"/>
      <c r="Q106" s="868"/>
      <c r="R106" s="868"/>
      <c r="S106" s="868"/>
    </row>
    <row r="107" spans="1:19" ht="16.5" customHeight="1">
      <c r="A107" s="868"/>
      <c r="B107" s="868"/>
      <c r="C107" s="868"/>
      <c r="D107" s="868"/>
      <c r="E107" s="868"/>
      <c r="F107" s="868"/>
      <c r="G107" s="868"/>
      <c r="H107" s="869"/>
      <c r="I107" s="868"/>
      <c r="J107" s="868"/>
      <c r="K107" s="868"/>
      <c r="L107" s="868"/>
      <c r="M107" s="868"/>
      <c r="N107" s="868"/>
      <c r="O107" s="868"/>
      <c r="P107" s="868"/>
      <c r="Q107" s="868"/>
      <c r="R107" s="868"/>
      <c r="S107" s="868"/>
    </row>
    <row r="108" spans="1:19" ht="16.5" customHeight="1">
      <c r="A108" s="868"/>
      <c r="B108" s="868"/>
      <c r="C108" s="868"/>
      <c r="D108" s="868"/>
      <c r="E108" s="868"/>
      <c r="F108" s="868"/>
      <c r="G108" s="868"/>
      <c r="H108" s="869"/>
      <c r="I108" s="868"/>
      <c r="J108" s="868"/>
      <c r="K108" s="868"/>
      <c r="L108" s="868"/>
      <c r="M108" s="868"/>
      <c r="N108" s="868"/>
      <c r="O108" s="868"/>
      <c r="P108" s="868"/>
      <c r="Q108" s="868"/>
      <c r="R108" s="868"/>
      <c r="S108" s="868"/>
    </row>
    <row r="109" spans="1:19" ht="16.5" customHeight="1">
      <c r="A109" s="868"/>
      <c r="B109" s="868"/>
      <c r="C109" s="868"/>
      <c r="D109" s="868"/>
      <c r="E109" s="868"/>
      <c r="F109" s="868"/>
      <c r="G109" s="868"/>
      <c r="H109" s="869"/>
      <c r="I109" s="868"/>
      <c r="J109" s="868"/>
      <c r="K109" s="868"/>
      <c r="L109" s="868"/>
      <c r="M109" s="868"/>
      <c r="N109" s="868"/>
      <c r="O109" s="868"/>
      <c r="P109" s="868"/>
      <c r="Q109" s="868"/>
      <c r="R109" s="868"/>
      <c r="S109" s="868"/>
    </row>
    <row r="110" spans="1:19" ht="16.5" customHeight="1">
      <c r="A110" s="868"/>
      <c r="B110" s="868"/>
      <c r="C110" s="868"/>
      <c r="D110" s="868"/>
      <c r="E110" s="868"/>
      <c r="F110" s="868"/>
      <c r="G110" s="868"/>
      <c r="H110" s="869"/>
      <c r="I110" s="868"/>
      <c r="J110" s="868"/>
      <c r="K110" s="868"/>
      <c r="L110" s="868"/>
      <c r="M110" s="868"/>
      <c r="N110" s="868"/>
      <c r="O110" s="868"/>
      <c r="P110" s="868"/>
      <c r="Q110" s="868"/>
      <c r="R110" s="868"/>
      <c r="S110" s="868"/>
    </row>
    <row r="111" spans="1:19" ht="16.5" customHeight="1">
      <c r="A111" s="868"/>
      <c r="B111" s="868"/>
      <c r="C111" s="868"/>
      <c r="D111" s="868"/>
      <c r="E111" s="868"/>
      <c r="F111" s="868"/>
      <c r="G111" s="868"/>
      <c r="H111" s="869"/>
      <c r="I111" s="868"/>
      <c r="J111" s="868"/>
      <c r="K111" s="868"/>
      <c r="L111" s="868"/>
      <c r="M111" s="868"/>
      <c r="N111" s="868"/>
      <c r="O111" s="868"/>
      <c r="P111" s="868"/>
      <c r="Q111" s="868"/>
      <c r="R111" s="868"/>
      <c r="S111" s="868"/>
    </row>
    <row r="112" spans="1:19" ht="16.5" customHeight="1">
      <c r="A112" s="868"/>
      <c r="B112" s="868"/>
      <c r="C112" s="868"/>
      <c r="D112" s="868"/>
      <c r="E112" s="868"/>
      <c r="F112" s="868"/>
      <c r="G112" s="868"/>
      <c r="H112" s="869"/>
      <c r="I112" s="868"/>
      <c r="J112" s="868"/>
      <c r="K112" s="868"/>
      <c r="L112" s="868"/>
      <c r="M112" s="868"/>
      <c r="N112" s="868"/>
      <c r="O112" s="868"/>
      <c r="P112" s="868"/>
      <c r="Q112" s="868"/>
      <c r="R112" s="868"/>
      <c r="S112" s="868"/>
    </row>
    <row r="113" spans="1:19" ht="16.5" customHeight="1">
      <c r="A113" s="868"/>
      <c r="B113" s="868"/>
      <c r="C113" s="868"/>
      <c r="D113" s="868"/>
      <c r="E113" s="868"/>
      <c r="F113" s="868"/>
      <c r="G113" s="868"/>
      <c r="H113" s="869"/>
      <c r="I113" s="868"/>
      <c r="J113" s="868"/>
      <c r="K113" s="868"/>
      <c r="L113" s="868"/>
      <c r="M113" s="868"/>
      <c r="N113" s="868"/>
      <c r="O113" s="868"/>
      <c r="P113" s="868"/>
      <c r="Q113" s="868"/>
      <c r="R113" s="868"/>
      <c r="S113" s="868"/>
    </row>
    <row r="114" spans="1:19" ht="16.5" customHeight="1">
      <c r="A114" s="868"/>
      <c r="B114" s="868"/>
      <c r="C114" s="868"/>
      <c r="D114" s="868"/>
      <c r="E114" s="868"/>
      <c r="F114" s="868"/>
      <c r="G114" s="868"/>
      <c r="H114" s="869"/>
      <c r="I114" s="868"/>
      <c r="J114" s="868"/>
      <c r="K114" s="868"/>
      <c r="L114" s="868"/>
      <c r="M114" s="868"/>
      <c r="N114" s="868"/>
      <c r="O114" s="868"/>
      <c r="P114" s="868"/>
      <c r="Q114" s="868"/>
      <c r="R114" s="868"/>
      <c r="S114" s="868"/>
    </row>
    <row r="115" spans="1:19" ht="16.5" customHeight="1">
      <c r="A115" s="868"/>
      <c r="B115" s="868"/>
      <c r="C115" s="868"/>
      <c r="D115" s="868"/>
      <c r="E115" s="868"/>
      <c r="F115" s="868"/>
      <c r="G115" s="868"/>
      <c r="H115" s="869"/>
      <c r="I115" s="868"/>
      <c r="J115" s="868"/>
      <c r="K115" s="868"/>
      <c r="L115" s="868"/>
      <c r="M115" s="868"/>
      <c r="N115" s="868"/>
      <c r="O115" s="868"/>
      <c r="P115" s="868"/>
      <c r="Q115" s="868"/>
      <c r="R115" s="868"/>
      <c r="S115" s="868"/>
    </row>
    <row r="116" spans="1:19" ht="16.5" customHeight="1">
      <c r="A116" s="868"/>
      <c r="B116" s="868"/>
      <c r="C116" s="868"/>
      <c r="D116" s="868"/>
      <c r="E116" s="868"/>
      <c r="F116" s="868"/>
      <c r="G116" s="868"/>
      <c r="H116" s="869"/>
      <c r="I116" s="868"/>
      <c r="J116" s="868"/>
      <c r="K116" s="868"/>
      <c r="L116" s="868"/>
      <c r="M116" s="868"/>
      <c r="N116" s="868"/>
      <c r="O116" s="868"/>
      <c r="P116" s="868"/>
      <c r="Q116" s="868"/>
      <c r="R116" s="868"/>
      <c r="S116" s="868"/>
    </row>
    <row r="117" spans="1:19" ht="16.5" customHeight="1">
      <c r="A117" s="868"/>
      <c r="B117" s="868"/>
      <c r="C117" s="868"/>
      <c r="D117" s="868"/>
      <c r="E117" s="868"/>
      <c r="F117" s="868"/>
      <c r="G117" s="868"/>
      <c r="H117" s="869"/>
      <c r="I117" s="868"/>
      <c r="J117" s="868"/>
      <c r="K117" s="868"/>
      <c r="L117" s="868"/>
      <c r="M117" s="868"/>
      <c r="N117" s="868"/>
      <c r="O117" s="868"/>
      <c r="P117" s="868"/>
      <c r="Q117" s="868"/>
      <c r="R117" s="868"/>
      <c r="S117" s="868"/>
    </row>
    <row r="118" spans="1:19" ht="16.5" customHeight="1">
      <c r="A118" s="868"/>
      <c r="B118" s="868"/>
      <c r="C118" s="868"/>
      <c r="D118" s="868"/>
      <c r="E118" s="868"/>
      <c r="F118" s="868"/>
      <c r="G118" s="868"/>
      <c r="H118" s="869"/>
      <c r="I118" s="868"/>
      <c r="J118" s="868"/>
      <c r="K118" s="868"/>
      <c r="L118" s="868"/>
      <c r="M118" s="868"/>
      <c r="N118" s="868"/>
      <c r="O118" s="868"/>
      <c r="P118" s="868"/>
      <c r="Q118" s="868"/>
      <c r="R118" s="868"/>
      <c r="S118" s="868"/>
    </row>
    <row r="119" spans="1:19" ht="16.5" customHeight="1">
      <c r="A119" s="868"/>
      <c r="B119" s="868"/>
      <c r="C119" s="868"/>
      <c r="D119" s="868"/>
      <c r="E119" s="868"/>
      <c r="F119" s="868"/>
      <c r="G119" s="868"/>
      <c r="H119" s="869"/>
      <c r="I119" s="868"/>
      <c r="J119" s="868"/>
      <c r="K119" s="868"/>
      <c r="L119" s="868"/>
      <c r="M119" s="868"/>
      <c r="N119" s="868"/>
      <c r="O119" s="868"/>
      <c r="P119" s="868"/>
      <c r="Q119" s="868"/>
      <c r="R119" s="868"/>
      <c r="S119" s="868"/>
    </row>
    <row r="120" spans="1:19" ht="16.5" customHeight="1">
      <c r="A120" s="868"/>
      <c r="B120" s="868"/>
      <c r="C120" s="868"/>
      <c r="D120" s="868"/>
      <c r="E120" s="868"/>
      <c r="F120" s="868"/>
      <c r="G120" s="868"/>
      <c r="H120" s="869"/>
      <c r="I120" s="868"/>
      <c r="J120" s="868"/>
      <c r="K120" s="868"/>
      <c r="L120" s="868"/>
      <c r="M120" s="868"/>
      <c r="N120" s="868"/>
      <c r="O120" s="868"/>
      <c r="P120" s="868"/>
      <c r="Q120" s="868"/>
      <c r="R120" s="868"/>
      <c r="S120" s="868"/>
    </row>
    <row r="121" spans="1:19" ht="16.5" customHeight="1">
      <c r="A121" s="868"/>
      <c r="B121" s="868"/>
      <c r="C121" s="868"/>
      <c r="D121" s="868"/>
      <c r="E121" s="868"/>
      <c r="F121" s="868"/>
      <c r="G121" s="868"/>
      <c r="H121" s="869"/>
      <c r="I121" s="868"/>
      <c r="J121" s="868"/>
      <c r="K121" s="868"/>
      <c r="L121" s="868"/>
      <c r="M121" s="868"/>
      <c r="N121" s="868"/>
      <c r="O121" s="868"/>
      <c r="P121" s="868"/>
      <c r="Q121" s="868"/>
      <c r="R121" s="868"/>
      <c r="S121" s="868"/>
    </row>
    <row r="122" spans="1:19" ht="16.5" customHeight="1">
      <c r="A122" s="868"/>
      <c r="B122" s="868"/>
      <c r="C122" s="868"/>
      <c r="D122" s="868"/>
      <c r="E122" s="868"/>
      <c r="F122" s="868"/>
      <c r="G122" s="868"/>
      <c r="H122" s="869"/>
      <c r="I122" s="868"/>
      <c r="J122" s="868"/>
      <c r="K122" s="868"/>
      <c r="L122" s="868"/>
      <c r="M122" s="868"/>
      <c r="N122" s="868"/>
      <c r="O122" s="868"/>
      <c r="P122" s="868"/>
      <c r="Q122" s="868"/>
      <c r="R122" s="868"/>
      <c r="S122" s="868"/>
    </row>
    <row r="123" spans="1:19" ht="16.5" customHeight="1">
      <c r="A123" s="868"/>
      <c r="B123" s="868"/>
      <c r="C123" s="868"/>
      <c r="D123" s="868"/>
      <c r="E123" s="868"/>
      <c r="F123" s="868"/>
      <c r="G123" s="868"/>
      <c r="H123" s="869"/>
      <c r="I123" s="868"/>
      <c r="J123" s="868"/>
      <c r="K123" s="868"/>
      <c r="L123" s="868"/>
      <c r="M123" s="868"/>
      <c r="N123" s="868"/>
      <c r="O123" s="868"/>
      <c r="P123" s="868"/>
      <c r="Q123" s="868"/>
      <c r="R123" s="868"/>
      <c r="S123" s="868"/>
    </row>
    <row r="124" spans="1:19" ht="16.5" customHeight="1">
      <c r="A124" s="868"/>
      <c r="B124" s="868"/>
      <c r="C124" s="868"/>
      <c r="D124" s="868"/>
      <c r="E124" s="868"/>
      <c r="F124" s="868"/>
      <c r="G124" s="868"/>
      <c r="H124" s="869"/>
      <c r="I124" s="868"/>
      <c r="J124" s="868"/>
      <c r="K124" s="868"/>
      <c r="L124" s="868"/>
      <c r="M124" s="868"/>
      <c r="N124" s="868"/>
      <c r="O124" s="868"/>
      <c r="P124" s="868"/>
      <c r="Q124" s="868"/>
      <c r="R124" s="868"/>
      <c r="S124" s="868"/>
    </row>
    <row r="125" spans="1:19" ht="16.5" customHeight="1">
      <c r="A125" s="868"/>
      <c r="B125" s="868"/>
      <c r="C125" s="868"/>
      <c r="D125" s="868"/>
      <c r="E125" s="868"/>
      <c r="F125" s="868"/>
      <c r="G125" s="868"/>
      <c r="H125" s="869"/>
      <c r="I125" s="868"/>
      <c r="J125" s="868"/>
      <c r="K125" s="868"/>
      <c r="L125" s="868"/>
      <c r="M125" s="868"/>
      <c r="N125" s="868"/>
      <c r="O125" s="868"/>
      <c r="P125" s="868"/>
      <c r="Q125" s="868"/>
      <c r="R125" s="868"/>
      <c r="S125" s="868"/>
    </row>
    <row r="126" spans="1:19" ht="16.5" customHeight="1">
      <c r="A126" s="868"/>
      <c r="B126" s="868"/>
      <c r="C126" s="868"/>
      <c r="D126" s="868"/>
      <c r="E126" s="868"/>
      <c r="F126" s="868"/>
      <c r="G126" s="868"/>
      <c r="H126" s="869"/>
      <c r="I126" s="868"/>
      <c r="J126" s="868"/>
      <c r="K126" s="868"/>
      <c r="L126" s="868"/>
      <c r="M126" s="868"/>
      <c r="N126" s="868"/>
      <c r="O126" s="868"/>
      <c r="P126" s="868"/>
      <c r="Q126" s="868"/>
      <c r="R126" s="868"/>
      <c r="S126" s="868"/>
    </row>
    <row r="127" spans="1:19" ht="16.5" customHeight="1">
      <c r="A127" s="868"/>
      <c r="B127" s="868"/>
      <c r="C127" s="868"/>
      <c r="D127" s="868"/>
      <c r="E127" s="868"/>
      <c r="F127" s="868"/>
      <c r="G127" s="868"/>
      <c r="H127" s="869"/>
      <c r="I127" s="868"/>
      <c r="J127" s="868"/>
      <c r="K127" s="868"/>
      <c r="L127" s="868"/>
      <c r="M127" s="868"/>
      <c r="N127" s="868"/>
      <c r="O127" s="868"/>
      <c r="P127" s="868"/>
      <c r="Q127" s="868"/>
      <c r="R127" s="868"/>
      <c r="S127" s="868"/>
    </row>
    <row r="128" spans="1:19" ht="16.5" customHeight="1">
      <c r="A128" s="868"/>
      <c r="B128" s="868"/>
      <c r="C128" s="868"/>
      <c r="D128" s="868"/>
      <c r="E128" s="868"/>
      <c r="F128" s="868"/>
      <c r="G128" s="868"/>
      <c r="H128" s="869"/>
      <c r="I128" s="868"/>
      <c r="J128" s="868"/>
      <c r="K128" s="868"/>
      <c r="L128" s="868"/>
      <c r="M128" s="868"/>
      <c r="N128" s="868"/>
      <c r="O128" s="868"/>
      <c r="P128" s="868"/>
      <c r="Q128" s="868"/>
      <c r="R128" s="868"/>
      <c r="S128" s="868"/>
    </row>
    <row r="129" spans="1:19" ht="16.5" customHeight="1">
      <c r="A129" s="868"/>
      <c r="B129" s="868"/>
      <c r="C129" s="868"/>
      <c r="D129" s="868"/>
      <c r="E129" s="868"/>
      <c r="F129" s="868"/>
      <c r="G129" s="868"/>
      <c r="H129" s="869"/>
      <c r="I129" s="868"/>
      <c r="J129" s="868"/>
      <c r="K129" s="868"/>
      <c r="L129" s="868"/>
      <c r="M129" s="868"/>
      <c r="N129" s="868"/>
      <c r="O129" s="868"/>
      <c r="P129" s="868"/>
      <c r="Q129" s="868"/>
      <c r="R129" s="868"/>
      <c r="S129" s="868"/>
    </row>
    <row r="130" spans="1:19" ht="16.5" customHeight="1">
      <c r="A130" s="868"/>
      <c r="B130" s="868"/>
      <c r="C130" s="868"/>
      <c r="D130" s="868"/>
      <c r="E130" s="868"/>
      <c r="F130" s="868"/>
      <c r="G130" s="868"/>
      <c r="H130" s="869"/>
      <c r="I130" s="868"/>
      <c r="J130" s="868"/>
      <c r="K130" s="868"/>
      <c r="L130" s="868"/>
      <c r="M130" s="868"/>
      <c r="N130" s="868"/>
      <c r="O130" s="868"/>
      <c r="P130" s="868"/>
      <c r="Q130" s="868"/>
      <c r="R130" s="868"/>
      <c r="S130" s="868"/>
    </row>
    <row r="131" spans="1:19" ht="16.5" customHeight="1">
      <c r="A131" s="868"/>
      <c r="B131" s="868"/>
      <c r="C131" s="868"/>
      <c r="D131" s="868"/>
      <c r="E131" s="868"/>
      <c r="F131" s="868"/>
      <c r="G131" s="868"/>
      <c r="H131" s="869"/>
      <c r="I131" s="868"/>
      <c r="J131" s="868"/>
      <c r="K131" s="868"/>
      <c r="L131" s="868"/>
      <c r="M131" s="868"/>
      <c r="N131" s="868"/>
      <c r="O131" s="868"/>
      <c r="P131" s="868"/>
      <c r="Q131" s="868"/>
      <c r="R131" s="868"/>
      <c r="S131" s="868"/>
    </row>
    <row r="132" spans="1:19" ht="16.5" customHeight="1">
      <c r="A132" s="868"/>
      <c r="B132" s="868"/>
      <c r="C132" s="868"/>
      <c r="D132" s="868"/>
      <c r="E132" s="868"/>
      <c r="F132" s="868"/>
      <c r="G132" s="868"/>
      <c r="H132" s="869"/>
      <c r="I132" s="868"/>
      <c r="J132" s="868"/>
      <c r="K132" s="868"/>
      <c r="L132" s="868"/>
      <c r="M132" s="868"/>
      <c r="N132" s="868"/>
      <c r="O132" s="868"/>
      <c r="P132" s="868"/>
      <c r="Q132" s="868"/>
      <c r="R132" s="868"/>
      <c r="S132" s="868"/>
    </row>
    <row r="133" spans="1:19" ht="16.5" customHeight="1">
      <c r="A133" s="868"/>
      <c r="B133" s="868"/>
      <c r="C133" s="868"/>
      <c r="D133" s="868"/>
      <c r="E133" s="868"/>
      <c r="F133" s="868"/>
      <c r="G133" s="868"/>
      <c r="H133" s="869"/>
      <c r="I133" s="868"/>
      <c r="J133" s="868"/>
      <c r="K133" s="868"/>
      <c r="L133" s="868"/>
      <c r="M133" s="868"/>
      <c r="N133" s="868"/>
      <c r="O133" s="868"/>
      <c r="P133" s="868"/>
      <c r="Q133" s="868"/>
      <c r="R133" s="868"/>
      <c r="S133" s="868"/>
    </row>
    <row r="134" spans="1:19" ht="16.5" customHeight="1">
      <c r="A134" s="868"/>
      <c r="B134" s="868"/>
      <c r="C134" s="868"/>
      <c r="D134" s="868"/>
      <c r="E134" s="868"/>
      <c r="F134" s="868"/>
      <c r="G134" s="868"/>
      <c r="H134" s="869"/>
      <c r="I134" s="868"/>
      <c r="J134" s="868"/>
      <c r="K134" s="868"/>
      <c r="L134" s="868"/>
      <c r="M134" s="868"/>
      <c r="N134" s="868"/>
      <c r="O134" s="868"/>
      <c r="P134" s="868"/>
      <c r="Q134" s="868"/>
      <c r="R134" s="868"/>
      <c r="S134" s="868"/>
    </row>
    <row r="135" spans="1:19" ht="16.5" customHeight="1">
      <c r="A135" s="868"/>
      <c r="B135" s="868"/>
      <c r="C135" s="868"/>
      <c r="D135" s="868"/>
      <c r="E135" s="868"/>
      <c r="F135" s="868"/>
      <c r="G135" s="868"/>
      <c r="H135" s="869"/>
      <c r="I135" s="868"/>
      <c r="J135" s="868"/>
      <c r="K135" s="868"/>
      <c r="L135" s="868"/>
      <c r="M135" s="868"/>
      <c r="N135" s="868"/>
      <c r="O135" s="868"/>
      <c r="P135" s="868"/>
      <c r="Q135" s="868"/>
      <c r="R135" s="868"/>
      <c r="S135" s="868"/>
    </row>
    <row r="136" spans="1:19" ht="16.5" customHeight="1">
      <c r="A136" s="868"/>
      <c r="B136" s="868"/>
      <c r="C136" s="868"/>
      <c r="D136" s="868"/>
      <c r="E136" s="868"/>
      <c r="F136" s="868"/>
      <c r="G136" s="868"/>
      <c r="H136" s="869"/>
      <c r="I136" s="868"/>
      <c r="J136" s="868"/>
      <c r="K136" s="868"/>
      <c r="L136" s="868"/>
      <c r="M136" s="868"/>
      <c r="N136" s="868"/>
      <c r="O136" s="868"/>
      <c r="P136" s="868"/>
      <c r="Q136" s="868"/>
      <c r="R136" s="868"/>
      <c r="S136" s="868"/>
    </row>
    <row r="137" spans="1:19" ht="16.5" customHeight="1">
      <c r="A137" s="868"/>
      <c r="B137" s="868"/>
      <c r="C137" s="868"/>
      <c r="D137" s="868"/>
      <c r="E137" s="868"/>
      <c r="F137" s="868"/>
      <c r="G137" s="868"/>
      <c r="H137" s="869"/>
      <c r="I137" s="868"/>
      <c r="J137" s="868"/>
      <c r="K137" s="868"/>
      <c r="L137" s="868"/>
      <c r="M137" s="868"/>
      <c r="N137" s="868"/>
      <c r="O137" s="868"/>
      <c r="P137" s="868"/>
      <c r="Q137" s="868"/>
      <c r="R137" s="868"/>
      <c r="S137" s="868"/>
    </row>
    <row r="138" spans="1:19" ht="16.5" customHeight="1">
      <c r="A138" s="868"/>
      <c r="B138" s="868"/>
      <c r="C138" s="868"/>
      <c r="D138" s="868"/>
      <c r="E138" s="868"/>
      <c r="F138" s="868"/>
      <c r="G138" s="868"/>
      <c r="H138" s="869"/>
      <c r="I138" s="868"/>
      <c r="J138" s="868"/>
      <c r="K138" s="868"/>
      <c r="L138" s="868"/>
      <c r="M138" s="868"/>
      <c r="N138" s="868"/>
      <c r="O138" s="868"/>
      <c r="P138" s="868"/>
      <c r="Q138" s="868"/>
      <c r="R138" s="868"/>
      <c r="S138" s="868"/>
    </row>
    <row r="139" spans="1:19" ht="16.5" customHeight="1">
      <c r="A139" s="868"/>
      <c r="B139" s="868"/>
      <c r="C139" s="868"/>
      <c r="D139" s="868"/>
      <c r="E139" s="868"/>
      <c r="F139" s="868"/>
      <c r="G139" s="868"/>
      <c r="H139" s="869"/>
      <c r="I139" s="868"/>
      <c r="J139" s="868"/>
      <c r="K139" s="868"/>
      <c r="L139" s="868"/>
      <c r="M139" s="868"/>
      <c r="N139" s="868"/>
      <c r="O139" s="868"/>
      <c r="P139" s="868"/>
      <c r="Q139" s="868"/>
      <c r="R139" s="868"/>
      <c r="S139" s="868"/>
    </row>
    <row r="140" spans="1:19" ht="16.5" customHeight="1">
      <c r="A140" s="868"/>
      <c r="B140" s="868"/>
      <c r="C140" s="868"/>
      <c r="D140" s="868"/>
      <c r="E140" s="868"/>
      <c r="F140" s="868"/>
      <c r="G140" s="868"/>
      <c r="H140" s="869"/>
      <c r="I140" s="868"/>
      <c r="J140" s="868"/>
      <c r="K140" s="868"/>
      <c r="L140" s="868"/>
      <c r="M140" s="868"/>
      <c r="N140" s="868"/>
      <c r="O140" s="868"/>
      <c r="P140" s="868"/>
      <c r="Q140" s="868"/>
      <c r="R140" s="868"/>
      <c r="S140" s="868"/>
    </row>
    <row r="141" spans="1:19" ht="16.5" customHeight="1">
      <c r="A141" s="868"/>
      <c r="B141" s="868"/>
      <c r="C141" s="868"/>
      <c r="D141" s="868"/>
      <c r="E141" s="868"/>
      <c r="F141" s="868"/>
      <c r="G141" s="868"/>
      <c r="H141" s="869"/>
      <c r="I141" s="868"/>
      <c r="J141" s="868"/>
      <c r="K141" s="868"/>
      <c r="L141" s="868"/>
      <c r="M141" s="868"/>
      <c r="N141" s="868"/>
      <c r="O141" s="868"/>
      <c r="P141" s="868"/>
      <c r="Q141" s="868"/>
      <c r="R141" s="868"/>
      <c r="S141" s="868"/>
    </row>
    <row r="142" spans="1:19" ht="16.5" customHeight="1">
      <c r="A142" s="868"/>
      <c r="B142" s="868"/>
      <c r="C142" s="868"/>
      <c r="D142" s="868"/>
      <c r="E142" s="868"/>
      <c r="F142" s="868"/>
      <c r="G142" s="868"/>
      <c r="H142" s="869"/>
      <c r="I142" s="868"/>
      <c r="J142" s="868"/>
      <c r="K142" s="868"/>
      <c r="L142" s="868"/>
      <c r="M142" s="868"/>
      <c r="N142" s="868"/>
      <c r="O142" s="868"/>
      <c r="P142" s="868"/>
      <c r="Q142" s="868"/>
      <c r="R142" s="868"/>
      <c r="S142" s="868"/>
    </row>
    <row r="143" spans="1:19" ht="16.5" customHeight="1">
      <c r="A143" s="868"/>
      <c r="B143" s="868"/>
      <c r="C143" s="868"/>
      <c r="D143" s="868"/>
      <c r="E143" s="868"/>
      <c r="F143" s="868"/>
      <c r="G143" s="868"/>
      <c r="H143" s="869"/>
      <c r="I143" s="868"/>
      <c r="J143" s="868"/>
      <c r="K143" s="868"/>
      <c r="L143" s="868"/>
      <c r="M143" s="868"/>
      <c r="N143" s="868"/>
      <c r="O143" s="868"/>
      <c r="P143" s="868"/>
      <c r="Q143" s="868"/>
      <c r="R143" s="868"/>
      <c r="S143" s="868"/>
    </row>
    <row r="144" spans="1:19" ht="16.5" customHeight="1">
      <c r="A144" s="868"/>
      <c r="B144" s="868"/>
      <c r="C144" s="868"/>
      <c r="D144" s="868"/>
      <c r="E144" s="868"/>
      <c r="F144" s="868"/>
      <c r="G144" s="868"/>
      <c r="H144" s="869"/>
      <c r="I144" s="868"/>
      <c r="J144" s="868"/>
      <c r="K144" s="868"/>
      <c r="L144" s="868"/>
      <c r="M144" s="868"/>
      <c r="N144" s="868"/>
      <c r="O144" s="868"/>
      <c r="P144" s="868"/>
      <c r="Q144" s="868"/>
      <c r="R144" s="868"/>
      <c r="S144" s="868"/>
    </row>
    <row r="145" spans="1:19" ht="16.5" customHeight="1">
      <c r="A145" s="868"/>
      <c r="B145" s="868"/>
      <c r="C145" s="868"/>
      <c r="D145" s="868"/>
      <c r="E145" s="868"/>
      <c r="F145" s="868"/>
      <c r="G145" s="868"/>
      <c r="H145" s="869"/>
      <c r="I145" s="868"/>
      <c r="J145" s="868"/>
      <c r="K145" s="868"/>
      <c r="L145" s="868"/>
      <c r="M145" s="868"/>
      <c r="N145" s="868"/>
      <c r="O145" s="868"/>
      <c r="P145" s="868"/>
      <c r="Q145" s="868"/>
      <c r="R145" s="868"/>
      <c r="S145" s="868"/>
    </row>
    <row r="146" spans="1:19" ht="16.5" customHeight="1">
      <c r="A146" s="868"/>
      <c r="B146" s="868"/>
      <c r="C146" s="868"/>
      <c r="D146" s="868"/>
      <c r="E146" s="868"/>
      <c r="F146" s="868"/>
      <c r="G146" s="868"/>
      <c r="H146" s="869"/>
      <c r="I146" s="868"/>
      <c r="J146" s="868"/>
      <c r="K146" s="868"/>
      <c r="L146" s="868"/>
      <c r="M146" s="868"/>
      <c r="N146" s="868"/>
      <c r="O146" s="868"/>
      <c r="P146" s="868"/>
      <c r="Q146" s="868"/>
      <c r="R146" s="868"/>
      <c r="S146" s="868"/>
    </row>
    <row r="147" spans="1:19" ht="16.5" customHeight="1">
      <c r="A147" s="868"/>
      <c r="B147" s="868"/>
      <c r="C147" s="868"/>
      <c r="D147" s="868"/>
      <c r="E147" s="868"/>
      <c r="F147" s="868"/>
      <c r="G147" s="868"/>
      <c r="H147" s="869"/>
      <c r="I147" s="868"/>
      <c r="J147" s="868"/>
      <c r="K147" s="868"/>
      <c r="L147" s="868"/>
      <c r="M147" s="868"/>
      <c r="N147" s="868"/>
      <c r="O147" s="868"/>
      <c r="P147" s="868"/>
      <c r="Q147" s="868"/>
      <c r="R147" s="868"/>
      <c r="S147" s="868"/>
    </row>
    <row r="148" spans="1:19" ht="16.5" customHeight="1">
      <c r="A148" s="868"/>
      <c r="B148" s="868"/>
      <c r="C148" s="868"/>
      <c r="D148" s="868"/>
      <c r="E148" s="868"/>
      <c r="F148" s="868"/>
      <c r="G148" s="868"/>
      <c r="H148" s="869"/>
      <c r="I148" s="868"/>
      <c r="J148" s="868"/>
      <c r="K148" s="868"/>
      <c r="L148" s="868"/>
      <c r="M148" s="868"/>
      <c r="N148" s="868"/>
      <c r="O148" s="868"/>
      <c r="P148" s="868"/>
      <c r="Q148" s="868"/>
      <c r="R148" s="868"/>
      <c r="S148" s="868"/>
    </row>
    <row r="149" spans="1:19" ht="16.5" customHeight="1">
      <c r="A149" s="868"/>
      <c r="B149" s="868"/>
      <c r="C149" s="868"/>
      <c r="D149" s="868"/>
      <c r="E149" s="868"/>
      <c r="F149" s="868"/>
      <c r="G149" s="868"/>
      <c r="H149" s="869"/>
      <c r="I149" s="868"/>
      <c r="J149" s="868"/>
      <c r="K149" s="868"/>
      <c r="L149" s="868"/>
      <c r="M149" s="868"/>
      <c r="N149" s="868"/>
      <c r="O149" s="868"/>
      <c r="P149" s="868"/>
      <c r="Q149" s="868"/>
      <c r="R149" s="868"/>
      <c r="S149" s="868"/>
    </row>
    <row r="150" spans="1:19" ht="16.5" customHeight="1">
      <c r="A150" s="868"/>
      <c r="B150" s="868"/>
      <c r="C150" s="868"/>
      <c r="D150" s="868"/>
      <c r="E150" s="868"/>
      <c r="F150" s="868"/>
      <c r="G150" s="868"/>
      <c r="H150" s="869"/>
      <c r="I150" s="868"/>
      <c r="J150" s="868"/>
      <c r="K150" s="868"/>
      <c r="L150" s="868"/>
      <c r="M150" s="868"/>
      <c r="N150" s="868"/>
      <c r="O150" s="868"/>
      <c r="P150" s="868"/>
      <c r="Q150" s="868"/>
      <c r="R150" s="868"/>
      <c r="S150" s="868"/>
    </row>
    <row r="151" spans="1:19" ht="16.5" customHeight="1">
      <c r="A151" s="868"/>
      <c r="B151" s="868"/>
      <c r="C151" s="868"/>
      <c r="D151" s="868"/>
      <c r="E151" s="868"/>
      <c r="F151" s="868"/>
      <c r="G151" s="868"/>
      <c r="H151" s="869"/>
      <c r="I151" s="868"/>
      <c r="J151" s="868"/>
      <c r="K151" s="868"/>
      <c r="L151" s="868"/>
      <c r="M151" s="868"/>
      <c r="N151" s="868"/>
      <c r="O151" s="868"/>
      <c r="P151" s="868"/>
      <c r="Q151" s="868"/>
      <c r="R151" s="868"/>
      <c r="S151" s="868"/>
    </row>
    <row r="152" spans="1:19" ht="16.5" customHeight="1">
      <c r="A152" s="868"/>
      <c r="B152" s="868"/>
      <c r="C152" s="868"/>
      <c r="D152" s="868"/>
      <c r="E152" s="868"/>
      <c r="F152" s="868"/>
      <c r="G152" s="868"/>
      <c r="H152" s="869"/>
      <c r="I152" s="868"/>
      <c r="J152" s="868"/>
      <c r="K152" s="868"/>
      <c r="L152" s="868"/>
      <c r="M152" s="868"/>
      <c r="N152" s="868"/>
      <c r="O152" s="868"/>
      <c r="P152" s="868"/>
      <c r="Q152" s="868"/>
      <c r="R152" s="868"/>
      <c r="S152" s="868"/>
    </row>
    <row r="153" spans="1:19" ht="16.5" customHeight="1">
      <c r="A153" s="868"/>
      <c r="B153" s="868"/>
      <c r="C153" s="868"/>
      <c r="D153" s="868"/>
      <c r="E153" s="868"/>
      <c r="F153" s="868"/>
      <c r="G153" s="868"/>
      <c r="H153" s="869"/>
      <c r="I153" s="868"/>
      <c r="J153" s="868"/>
      <c r="K153" s="868"/>
      <c r="L153" s="868"/>
      <c r="M153" s="868"/>
      <c r="N153" s="868"/>
      <c r="O153" s="868"/>
      <c r="P153" s="868"/>
      <c r="Q153" s="868"/>
      <c r="R153" s="868"/>
      <c r="S153" s="868"/>
    </row>
    <row r="154" spans="1:19" ht="16.5" customHeight="1">
      <c r="A154" s="868"/>
      <c r="B154" s="868"/>
      <c r="C154" s="868"/>
      <c r="D154" s="868"/>
      <c r="E154" s="868"/>
      <c r="F154" s="868"/>
      <c r="G154" s="868"/>
      <c r="H154" s="869"/>
      <c r="I154" s="868"/>
      <c r="J154" s="868"/>
      <c r="K154" s="868"/>
      <c r="L154" s="868"/>
      <c r="M154" s="868"/>
      <c r="N154" s="868"/>
      <c r="O154" s="868"/>
      <c r="P154" s="868"/>
      <c r="Q154" s="868"/>
      <c r="R154" s="868"/>
      <c r="S154" s="868"/>
    </row>
    <row r="155" spans="1:19" ht="16.5" customHeight="1">
      <c r="A155" s="868"/>
      <c r="B155" s="868"/>
      <c r="C155" s="868"/>
      <c r="D155" s="868"/>
      <c r="E155" s="868"/>
      <c r="F155" s="868"/>
      <c r="G155" s="868"/>
      <c r="H155" s="869"/>
      <c r="I155" s="868"/>
      <c r="J155" s="868"/>
      <c r="K155" s="868"/>
      <c r="L155" s="868"/>
      <c r="M155" s="868"/>
      <c r="N155" s="868"/>
      <c r="O155" s="868"/>
      <c r="P155" s="868"/>
      <c r="Q155" s="868"/>
      <c r="R155" s="868"/>
      <c r="S155" s="868"/>
    </row>
    <row r="156" spans="1:19" ht="16.5" customHeight="1">
      <c r="A156" s="868"/>
      <c r="B156" s="868"/>
      <c r="C156" s="868"/>
      <c r="D156" s="868"/>
      <c r="E156" s="868"/>
      <c r="F156" s="868"/>
      <c r="G156" s="868"/>
      <c r="H156" s="869"/>
      <c r="I156" s="868"/>
      <c r="J156" s="868"/>
      <c r="K156" s="868"/>
      <c r="L156" s="868"/>
      <c r="M156" s="868"/>
      <c r="N156" s="868"/>
      <c r="O156" s="868"/>
      <c r="P156" s="868"/>
      <c r="Q156" s="868"/>
      <c r="R156" s="868"/>
      <c r="S156" s="868"/>
    </row>
    <row r="157" spans="1:19" ht="16.5" customHeight="1">
      <c r="A157" s="868"/>
      <c r="B157" s="868"/>
      <c r="C157" s="868"/>
      <c r="D157" s="868"/>
      <c r="E157" s="868"/>
      <c r="F157" s="868"/>
      <c r="G157" s="868"/>
      <c r="H157" s="869"/>
      <c r="I157" s="868"/>
      <c r="J157" s="868"/>
      <c r="K157" s="868"/>
      <c r="L157" s="868"/>
      <c r="M157" s="868"/>
      <c r="N157" s="868"/>
      <c r="O157" s="868"/>
      <c r="P157" s="868"/>
      <c r="Q157" s="868"/>
      <c r="R157" s="868"/>
      <c r="S157" s="868"/>
    </row>
    <row r="158" spans="1:19" ht="16.5" customHeight="1">
      <c r="A158" s="868"/>
      <c r="B158" s="868"/>
      <c r="C158" s="868"/>
      <c r="D158" s="868"/>
      <c r="E158" s="868"/>
      <c r="F158" s="868"/>
      <c r="G158" s="868"/>
      <c r="H158" s="869"/>
      <c r="I158" s="868"/>
      <c r="J158" s="868"/>
      <c r="K158" s="868"/>
      <c r="L158" s="868"/>
      <c r="M158" s="868"/>
      <c r="N158" s="868"/>
      <c r="O158" s="868"/>
      <c r="P158" s="868"/>
      <c r="Q158" s="868"/>
      <c r="R158" s="868"/>
      <c r="S158" s="868"/>
    </row>
    <row r="159" spans="1:19" ht="16.5" customHeight="1">
      <c r="A159" s="868"/>
      <c r="B159" s="868"/>
      <c r="C159" s="868"/>
      <c r="D159" s="868"/>
      <c r="E159" s="868"/>
      <c r="F159" s="868"/>
      <c r="G159" s="868"/>
      <c r="H159" s="869"/>
      <c r="I159" s="868"/>
      <c r="J159" s="868"/>
      <c r="K159" s="868"/>
      <c r="L159" s="868"/>
      <c r="M159" s="868"/>
      <c r="N159" s="868"/>
      <c r="O159" s="868"/>
      <c r="P159" s="868"/>
      <c r="Q159" s="868"/>
      <c r="R159" s="868"/>
      <c r="S159" s="868"/>
    </row>
    <row r="160" spans="1:19" ht="16.5" customHeight="1">
      <c r="A160" s="868"/>
      <c r="B160" s="868"/>
      <c r="C160" s="868"/>
      <c r="D160" s="868"/>
      <c r="E160" s="868"/>
      <c r="F160" s="868"/>
      <c r="G160" s="868"/>
      <c r="H160" s="869"/>
      <c r="I160" s="868"/>
      <c r="J160" s="868"/>
      <c r="K160" s="868"/>
      <c r="L160" s="868"/>
      <c r="M160" s="868"/>
      <c r="N160" s="868"/>
      <c r="O160" s="868"/>
      <c r="P160" s="868"/>
      <c r="Q160" s="868"/>
      <c r="R160" s="868"/>
      <c r="S160" s="868"/>
    </row>
    <row r="161" spans="1:19" ht="16.5" customHeight="1">
      <c r="A161" s="868"/>
      <c r="B161" s="868"/>
      <c r="C161" s="868"/>
      <c r="D161" s="868"/>
      <c r="E161" s="868"/>
      <c r="F161" s="868"/>
      <c r="G161" s="868"/>
      <c r="H161" s="869"/>
      <c r="I161" s="868"/>
      <c r="J161" s="868"/>
      <c r="K161" s="868"/>
      <c r="L161" s="868"/>
      <c r="M161" s="868"/>
      <c r="N161" s="868"/>
      <c r="O161" s="868"/>
      <c r="P161" s="868"/>
      <c r="Q161" s="868"/>
      <c r="R161" s="868"/>
      <c r="S161" s="868"/>
    </row>
    <row r="162" spans="1:19" ht="16.5" customHeight="1">
      <c r="A162" s="868"/>
      <c r="B162" s="868"/>
      <c r="C162" s="868"/>
      <c r="D162" s="868"/>
      <c r="E162" s="868"/>
      <c r="F162" s="868"/>
      <c r="G162" s="868"/>
      <c r="H162" s="869"/>
      <c r="I162" s="868"/>
      <c r="J162" s="868"/>
      <c r="K162" s="868"/>
      <c r="L162" s="868"/>
      <c r="M162" s="868"/>
      <c r="N162" s="868"/>
      <c r="O162" s="868"/>
      <c r="P162" s="868"/>
      <c r="Q162" s="868"/>
      <c r="R162" s="868"/>
      <c r="S162" s="868"/>
    </row>
    <row r="163" spans="1:19" ht="16.5" customHeight="1">
      <c r="A163" s="868"/>
      <c r="B163" s="868"/>
      <c r="C163" s="868"/>
      <c r="D163" s="868"/>
      <c r="E163" s="868"/>
      <c r="F163" s="868"/>
      <c r="G163" s="868"/>
      <c r="H163" s="869"/>
      <c r="I163" s="868"/>
      <c r="J163" s="868"/>
      <c r="K163" s="868"/>
      <c r="L163" s="868"/>
      <c r="M163" s="868"/>
      <c r="N163" s="868"/>
      <c r="O163" s="868"/>
      <c r="P163" s="868"/>
      <c r="Q163" s="868"/>
      <c r="R163" s="868"/>
      <c r="S163" s="868"/>
    </row>
    <row r="164" spans="1:19" ht="16.5" customHeight="1">
      <c r="A164" s="868"/>
      <c r="B164" s="868"/>
      <c r="C164" s="868"/>
      <c r="D164" s="868"/>
      <c r="E164" s="868"/>
      <c r="F164" s="868"/>
      <c r="G164" s="868"/>
      <c r="H164" s="869"/>
      <c r="I164" s="868"/>
      <c r="J164" s="868"/>
      <c r="K164" s="868"/>
      <c r="L164" s="868"/>
      <c r="M164" s="868"/>
      <c r="N164" s="868"/>
      <c r="O164" s="868"/>
      <c r="P164" s="868"/>
      <c r="Q164" s="868"/>
      <c r="R164" s="868"/>
      <c r="S164" s="868"/>
    </row>
    <row r="165" spans="1:19" ht="16.5" customHeight="1">
      <c r="A165" s="868"/>
      <c r="B165" s="868"/>
      <c r="C165" s="868"/>
      <c r="D165" s="868"/>
      <c r="E165" s="868"/>
      <c r="F165" s="868"/>
      <c r="G165" s="868"/>
      <c r="H165" s="869"/>
      <c r="I165" s="868"/>
      <c r="J165" s="868"/>
      <c r="K165" s="868"/>
      <c r="L165" s="868"/>
      <c r="M165" s="868"/>
      <c r="N165" s="868"/>
      <c r="O165" s="868"/>
      <c r="P165" s="868"/>
      <c r="Q165" s="868"/>
      <c r="R165" s="868"/>
      <c r="S165" s="868"/>
    </row>
    <row r="166" spans="1:19" ht="16.5" customHeight="1">
      <c r="A166" s="868"/>
      <c r="B166" s="868"/>
      <c r="C166" s="868"/>
      <c r="D166" s="868"/>
      <c r="E166" s="868"/>
      <c r="F166" s="868"/>
      <c r="G166" s="868"/>
      <c r="H166" s="869"/>
      <c r="I166" s="868"/>
      <c r="J166" s="868"/>
      <c r="K166" s="868"/>
      <c r="L166" s="868"/>
      <c r="M166" s="868"/>
      <c r="N166" s="868"/>
      <c r="O166" s="868"/>
      <c r="P166" s="868"/>
      <c r="Q166" s="868"/>
      <c r="R166" s="868"/>
      <c r="S166" s="868"/>
    </row>
    <row r="167" spans="1:19" ht="16.5" customHeight="1">
      <c r="A167" s="868"/>
      <c r="B167" s="868"/>
      <c r="C167" s="868"/>
      <c r="D167" s="868"/>
      <c r="E167" s="868"/>
      <c r="F167" s="868"/>
      <c r="G167" s="868"/>
      <c r="H167" s="869"/>
      <c r="I167" s="868"/>
      <c r="J167" s="868"/>
      <c r="K167" s="868"/>
      <c r="L167" s="868"/>
      <c r="M167" s="868"/>
      <c r="N167" s="868"/>
      <c r="O167" s="868"/>
      <c r="P167" s="868"/>
      <c r="Q167" s="868"/>
      <c r="R167" s="868"/>
      <c r="S167" s="868"/>
    </row>
    <row r="168" spans="1:19" ht="16.5" customHeight="1">
      <c r="A168" s="868"/>
      <c r="B168" s="868"/>
      <c r="C168" s="868"/>
      <c r="D168" s="868"/>
      <c r="E168" s="868"/>
      <c r="F168" s="868"/>
      <c r="G168" s="868"/>
      <c r="H168" s="869"/>
      <c r="I168" s="868"/>
      <c r="J168" s="868"/>
      <c r="K168" s="868"/>
      <c r="L168" s="868"/>
      <c r="M168" s="868"/>
      <c r="N168" s="868"/>
      <c r="O168" s="868"/>
      <c r="P168" s="868"/>
      <c r="Q168" s="868"/>
      <c r="R168" s="868"/>
      <c r="S168" s="868"/>
    </row>
    <row r="169" spans="1:19" ht="16.5" customHeight="1">
      <c r="A169" s="868"/>
      <c r="B169" s="868"/>
      <c r="C169" s="868"/>
      <c r="D169" s="868"/>
      <c r="E169" s="868"/>
      <c r="F169" s="868"/>
      <c r="G169" s="868"/>
      <c r="H169" s="869"/>
      <c r="I169" s="868"/>
      <c r="J169" s="868"/>
      <c r="K169" s="868"/>
      <c r="L169" s="868"/>
      <c r="M169" s="868"/>
      <c r="N169" s="868"/>
      <c r="O169" s="868"/>
      <c r="P169" s="868"/>
      <c r="Q169" s="868"/>
      <c r="R169" s="868"/>
      <c r="S169" s="868"/>
    </row>
    <row r="170" spans="1:19" ht="16.5" customHeight="1">
      <c r="A170" s="868"/>
      <c r="B170" s="868"/>
      <c r="C170" s="868"/>
      <c r="D170" s="868"/>
      <c r="E170" s="868"/>
      <c r="F170" s="868"/>
      <c r="G170" s="868"/>
      <c r="H170" s="869"/>
      <c r="I170" s="868"/>
      <c r="J170" s="868"/>
      <c r="K170" s="868"/>
      <c r="L170" s="868"/>
      <c r="M170" s="868"/>
      <c r="N170" s="868"/>
      <c r="O170" s="868"/>
      <c r="P170" s="868"/>
      <c r="Q170" s="868"/>
      <c r="R170" s="868"/>
      <c r="S170" s="868"/>
    </row>
    <row r="171" spans="1:19" ht="16.5" customHeight="1">
      <c r="A171" s="868"/>
      <c r="B171" s="868"/>
      <c r="C171" s="868"/>
      <c r="D171" s="868"/>
      <c r="E171" s="868"/>
      <c r="F171" s="868"/>
      <c r="G171" s="868"/>
      <c r="H171" s="869"/>
      <c r="I171" s="868"/>
      <c r="J171" s="868"/>
      <c r="K171" s="868"/>
      <c r="L171" s="868"/>
      <c r="M171" s="868"/>
      <c r="N171" s="868"/>
      <c r="O171" s="868"/>
      <c r="P171" s="868"/>
      <c r="Q171" s="868"/>
      <c r="R171" s="868"/>
      <c r="S171" s="868"/>
    </row>
    <row r="172" spans="1:19" ht="16.5" customHeight="1">
      <c r="A172" s="868"/>
      <c r="B172" s="868"/>
      <c r="C172" s="868"/>
      <c r="D172" s="868"/>
      <c r="E172" s="868"/>
      <c r="F172" s="868"/>
      <c r="G172" s="868"/>
      <c r="H172" s="869"/>
      <c r="I172" s="868"/>
      <c r="J172" s="868"/>
      <c r="K172" s="868"/>
      <c r="L172" s="868"/>
      <c r="M172" s="868"/>
      <c r="N172" s="868"/>
      <c r="O172" s="868"/>
      <c r="P172" s="868"/>
      <c r="Q172" s="868"/>
      <c r="R172" s="868"/>
      <c r="S172" s="868"/>
    </row>
    <row r="173" spans="1:19" ht="16.5" customHeight="1">
      <c r="A173" s="868"/>
      <c r="B173" s="868"/>
      <c r="C173" s="868"/>
      <c r="D173" s="868"/>
      <c r="E173" s="868"/>
      <c r="F173" s="868"/>
      <c r="G173" s="868"/>
      <c r="H173" s="869"/>
      <c r="I173" s="868"/>
      <c r="J173" s="868"/>
      <c r="K173" s="868"/>
      <c r="L173" s="868"/>
      <c r="M173" s="868"/>
      <c r="N173" s="868"/>
      <c r="O173" s="868"/>
      <c r="P173" s="868"/>
      <c r="Q173" s="868"/>
      <c r="R173" s="868"/>
      <c r="S173" s="868"/>
    </row>
    <row r="174" spans="1:19" ht="16.5" customHeight="1">
      <c r="A174" s="868"/>
      <c r="B174" s="868"/>
      <c r="C174" s="868"/>
      <c r="D174" s="868"/>
      <c r="E174" s="868"/>
      <c r="F174" s="868"/>
      <c r="G174" s="868"/>
      <c r="H174" s="869"/>
      <c r="I174" s="868"/>
      <c r="J174" s="868"/>
      <c r="K174" s="868"/>
      <c r="L174" s="868"/>
      <c r="M174" s="868"/>
      <c r="N174" s="868"/>
      <c r="O174" s="868"/>
      <c r="P174" s="868"/>
      <c r="Q174" s="868"/>
      <c r="R174" s="868"/>
      <c r="S174" s="868"/>
    </row>
    <row r="175" spans="1:19" ht="16.5" customHeight="1">
      <c r="A175" s="868"/>
      <c r="B175" s="868"/>
      <c r="C175" s="868"/>
      <c r="D175" s="868"/>
      <c r="E175" s="868"/>
      <c r="F175" s="868"/>
      <c r="G175" s="868"/>
      <c r="H175" s="869"/>
      <c r="I175" s="868"/>
      <c r="J175" s="868"/>
      <c r="K175" s="868"/>
      <c r="L175" s="868"/>
      <c r="M175" s="868"/>
      <c r="N175" s="868"/>
      <c r="O175" s="868"/>
      <c r="P175" s="868"/>
      <c r="Q175" s="868"/>
      <c r="R175" s="868"/>
      <c r="S175" s="868"/>
    </row>
    <row r="176" spans="1:19" ht="16.5" customHeight="1">
      <c r="A176" s="868"/>
      <c r="B176" s="868"/>
      <c r="C176" s="868"/>
      <c r="D176" s="868"/>
      <c r="E176" s="868"/>
      <c r="F176" s="868"/>
      <c r="G176" s="868"/>
      <c r="H176" s="869"/>
      <c r="I176" s="868"/>
      <c r="J176" s="868"/>
      <c r="K176" s="868"/>
      <c r="L176" s="868"/>
      <c r="M176" s="868"/>
      <c r="N176" s="868"/>
      <c r="O176" s="868"/>
      <c r="P176" s="868"/>
      <c r="Q176" s="868"/>
      <c r="R176" s="868"/>
      <c r="S176" s="868"/>
    </row>
    <row r="177" spans="1:19" ht="16.5" customHeight="1">
      <c r="A177" s="868"/>
      <c r="B177" s="868"/>
      <c r="C177" s="868"/>
      <c r="D177" s="868"/>
      <c r="E177" s="868"/>
      <c r="F177" s="868"/>
      <c r="G177" s="868"/>
      <c r="H177" s="869"/>
      <c r="I177" s="868"/>
      <c r="J177" s="868"/>
      <c r="K177" s="868"/>
      <c r="L177" s="868"/>
      <c r="M177" s="868"/>
      <c r="N177" s="868"/>
      <c r="O177" s="868"/>
      <c r="P177" s="868"/>
      <c r="Q177" s="868"/>
      <c r="R177" s="868"/>
      <c r="S177" s="868"/>
    </row>
    <row r="178" spans="1:19" ht="16.5" customHeight="1">
      <c r="A178" s="868"/>
      <c r="B178" s="868"/>
      <c r="C178" s="868"/>
      <c r="D178" s="868"/>
      <c r="E178" s="868"/>
      <c r="F178" s="868"/>
      <c r="G178" s="868"/>
      <c r="H178" s="869"/>
      <c r="I178" s="868"/>
      <c r="J178" s="868"/>
      <c r="K178" s="868"/>
      <c r="L178" s="868"/>
      <c r="M178" s="868"/>
      <c r="N178" s="868"/>
      <c r="O178" s="868"/>
      <c r="P178" s="868"/>
      <c r="Q178" s="868"/>
      <c r="R178" s="868"/>
      <c r="S178" s="868"/>
    </row>
    <row r="179" spans="1:19" ht="16.5" customHeight="1">
      <c r="A179" s="868"/>
      <c r="B179" s="868"/>
      <c r="C179" s="868"/>
      <c r="D179" s="868"/>
      <c r="E179" s="868"/>
      <c r="F179" s="868"/>
      <c r="G179" s="868"/>
      <c r="H179" s="869"/>
      <c r="I179" s="868"/>
      <c r="J179" s="868"/>
      <c r="K179" s="868"/>
      <c r="L179" s="868"/>
      <c r="M179" s="868"/>
      <c r="N179" s="868"/>
      <c r="O179" s="868"/>
      <c r="P179" s="868"/>
      <c r="Q179" s="868"/>
      <c r="R179" s="868"/>
      <c r="S179" s="868"/>
    </row>
    <row r="180" spans="1:19" ht="16.5" customHeight="1">
      <c r="A180" s="868"/>
      <c r="B180" s="868"/>
      <c r="C180" s="868"/>
      <c r="D180" s="868"/>
      <c r="E180" s="868"/>
      <c r="F180" s="868"/>
      <c r="G180" s="868"/>
      <c r="H180" s="869"/>
      <c r="I180" s="868"/>
      <c r="J180" s="868"/>
      <c r="K180" s="868"/>
      <c r="L180" s="868"/>
      <c r="M180" s="868"/>
      <c r="N180" s="868"/>
      <c r="O180" s="868"/>
      <c r="P180" s="868"/>
      <c r="Q180" s="868"/>
      <c r="R180" s="868"/>
      <c r="S180" s="868"/>
    </row>
    <row r="181" spans="1:19" ht="16.5" customHeight="1">
      <c r="A181" s="868"/>
      <c r="B181" s="868"/>
      <c r="C181" s="868"/>
      <c r="D181" s="868"/>
      <c r="E181" s="868"/>
      <c r="F181" s="868"/>
      <c r="G181" s="868"/>
      <c r="H181" s="869"/>
      <c r="I181" s="868"/>
      <c r="J181" s="868"/>
      <c r="K181" s="868"/>
      <c r="L181" s="868"/>
      <c r="M181" s="868"/>
      <c r="N181" s="868"/>
      <c r="O181" s="868"/>
      <c r="P181" s="868"/>
      <c r="Q181" s="868"/>
      <c r="R181" s="868"/>
      <c r="S181" s="868"/>
    </row>
    <row r="182" spans="1:19" ht="16.5" customHeight="1">
      <c r="A182" s="868"/>
      <c r="B182" s="868"/>
      <c r="C182" s="868"/>
      <c r="D182" s="868"/>
      <c r="E182" s="868"/>
      <c r="F182" s="868"/>
      <c r="G182" s="868"/>
      <c r="H182" s="869"/>
      <c r="I182" s="868"/>
      <c r="J182" s="868"/>
      <c r="K182" s="868"/>
      <c r="L182" s="868"/>
      <c r="M182" s="868"/>
      <c r="N182" s="868"/>
      <c r="O182" s="868"/>
      <c r="P182" s="868"/>
      <c r="Q182" s="868"/>
      <c r="R182" s="868"/>
      <c r="S182" s="868"/>
    </row>
    <row r="183" spans="1:19" ht="16.5" customHeight="1">
      <c r="A183" s="868"/>
      <c r="B183" s="868"/>
      <c r="C183" s="868"/>
      <c r="D183" s="868"/>
      <c r="E183" s="868"/>
      <c r="F183" s="868"/>
      <c r="G183" s="868"/>
      <c r="H183" s="869"/>
      <c r="I183" s="868"/>
      <c r="J183" s="868"/>
      <c r="K183" s="868"/>
      <c r="L183" s="868"/>
      <c r="M183" s="868"/>
      <c r="N183" s="868"/>
      <c r="O183" s="868"/>
      <c r="P183" s="868"/>
      <c r="Q183" s="868"/>
      <c r="R183" s="868"/>
      <c r="S183" s="868"/>
    </row>
    <row r="184" spans="1:19" ht="16.5" customHeight="1">
      <c r="A184" s="868"/>
      <c r="B184" s="868"/>
      <c r="C184" s="868"/>
      <c r="D184" s="868"/>
      <c r="E184" s="868"/>
      <c r="F184" s="868"/>
      <c r="G184" s="868"/>
      <c r="H184" s="869"/>
      <c r="I184" s="868"/>
      <c r="J184" s="868"/>
      <c r="K184" s="868"/>
      <c r="L184" s="868"/>
      <c r="M184" s="868"/>
      <c r="N184" s="868"/>
      <c r="O184" s="868"/>
      <c r="P184" s="868"/>
      <c r="Q184" s="868"/>
      <c r="R184" s="868"/>
      <c r="S184" s="868"/>
    </row>
    <row r="185" spans="1:19" ht="16.5" customHeight="1">
      <c r="A185" s="868"/>
      <c r="B185" s="868"/>
      <c r="C185" s="868"/>
      <c r="D185" s="868"/>
      <c r="E185" s="868"/>
      <c r="F185" s="868"/>
      <c r="G185" s="868"/>
      <c r="H185" s="869"/>
      <c r="I185" s="868"/>
      <c r="J185" s="868"/>
      <c r="K185" s="868"/>
      <c r="L185" s="868"/>
      <c r="M185" s="868"/>
      <c r="N185" s="868"/>
      <c r="O185" s="868"/>
      <c r="P185" s="868"/>
      <c r="Q185" s="868"/>
      <c r="R185" s="868"/>
      <c r="S185" s="868"/>
    </row>
    <row r="186" spans="1:19" ht="16.5" customHeight="1">
      <c r="A186" s="868"/>
      <c r="B186" s="868"/>
      <c r="C186" s="868"/>
      <c r="D186" s="868"/>
      <c r="E186" s="868"/>
      <c r="F186" s="868"/>
      <c r="G186" s="868"/>
      <c r="H186" s="869"/>
      <c r="I186" s="868"/>
      <c r="J186" s="868"/>
      <c r="K186" s="868"/>
      <c r="L186" s="868"/>
      <c r="M186" s="868"/>
      <c r="N186" s="868"/>
      <c r="O186" s="868"/>
      <c r="P186" s="868"/>
      <c r="Q186" s="868"/>
      <c r="R186" s="868"/>
      <c r="S186" s="868"/>
    </row>
    <row r="187" spans="1:19" ht="16.5" customHeight="1">
      <c r="A187" s="868"/>
      <c r="B187" s="868"/>
      <c r="C187" s="868"/>
      <c r="D187" s="868"/>
      <c r="E187" s="868"/>
      <c r="F187" s="868"/>
      <c r="G187" s="868"/>
      <c r="H187" s="869"/>
      <c r="I187" s="868"/>
      <c r="J187" s="868"/>
      <c r="K187" s="868"/>
      <c r="L187" s="868"/>
      <c r="M187" s="868"/>
      <c r="N187" s="868"/>
      <c r="O187" s="868"/>
      <c r="P187" s="868"/>
      <c r="Q187" s="868"/>
      <c r="R187" s="868"/>
      <c r="S187" s="868"/>
    </row>
    <row r="188" spans="1:19" ht="16.5" customHeight="1">
      <c r="A188" s="868"/>
      <c r="B188" s="868"/>
      <c r="C188" s="868"/>
      <c r="D188" s="868"/>
      <c r="E188" s="868"/>
      <c r="F188" s="868"/>
      <c r="G188" s="868"/>
      <c r="H188" s="869"/>
      <c r="I188" s="868"/>
      <c r="J188" s="868"/>
      <c r="K188" s="868"/>
      <c r="L188" s="868"/>
      <c r="M188" s="868"/>
      <c r="N188" s="868"/>
      <c r="O188" s="868"/>
      <c r="P188" s="868"/>
      <c r="Q188" s="868"/>
      <c r="R188" s="868"/>
      <c r="S188" s="868"/>
    </row>
    <row r="189" spans="1:19" ht="16.5" customHeight="1">
      <c r="A189" s="868"/>
      <c r="B189" s="868"/>
      <c r="C189" s="868"/>
      <c r="D189" s="868"/>
      <c r="E189" s="868"/>
      <c r="F189" s="868"/>
      <c r="G189" s="868"/>
      <c r="H189" s="869"/>
      <c r="I189" s="868"/>
      <c r="J189" s="868"/>
      <c r="K189" s="868"/>
      <c r="L189" s="868"/>
      <c r="M189" s="868"/>
      <c r="N189" s="868"/>
      <c r="O189" s="868"/>
      <c r="P189" s="868"/>
      <c r="Q189" s="868"/>
      <c r="R189" s="868"/>
      <c r="S189" s="868"/>
    </row>
    <row r="190" spans="1:19" ht="16.5" customHeight="1">
      <c r="A190" s="868"/>
      <c r="B190" s="868"/>
      <c r="C190" s="868"/>
      <c r="D190" s="868"/>
      <c r="E190" s="868"/>
      <c r="F190" s="868"/>
      <c r="G190" s="868"/>
      <c r="H190" s="869"/>
      <c r="I190" s="868"/>
      <c r="J190" s="868"/>
      <c r="K190" s="868"/>
      <c r="L190" s="868"/>
      <c r="M190" s="868"/>
      <c r="N190" s="868"/>
      <c r="O190" s="868"/>
      <c r="P190" s="868"/>
      <c r="Q190" s="868"/>
      <c r="R190" s="868"/>
      <c r="S190" s="868"/>
    </row>
    <row r="191" spans="1:19" ht="16.5" customHeight="1">
      <c r="A191" s="868"/>
      <c r="B191" s="868"/>
      <c r="C191" s="868"/>
      <c r="D191" s="868"/>
      <c r="E191" s="868"/>
      <c r="F191" s="868"/>
      <c r="G191" s="868"/>
      <c r="H191" s="869"/>
      <c r="I191" s="868"/>
      <c r="J191" s="868"/>
      <c r="K191" s="868"/>
      <c r="L191" s="868"/>
      <c r="M191" s="868"/>
      <c r="N191" s="868"/>
      <c r="O191" s="868"/>
      <c r="P191" s="868"/>
      <c r="Q191" s="868"/>
      <c r="R191" s="868"/>
      <c r="S191" s="868"/>
    </row>
    <row r="192" spans="1:19" ht="16.5" customHeight="1">
      <c r="A192" s="868"/>
      <c r="B192" s="868"/>
      <c r="C192" s="868"/>
      <c r="D192" s="868"/>
      <c r="E192" s="868"/>
      <c r="F192" s="868"/>
      <c r="G192" s="868"/>
      <c r="H192" s="869"/>
      <c r="I192" s="868"/>
      <c r="J192" s="868"/>
      <c r="K192" s="868"/>
      <c r="L192" s="868"/>
      <c r="M192" s="868"/>
      <c r="N192" s="868"/>
      <c r="O192" s="868"/>
      <c r="P192" s="868"/>
      <c r="Q192" s="868"/>
      <c r="R192" s="868"/>
      <c r="S192" s="868"/>
    </row>
    <row r="193" spans="1:19" ht="16.5" customHeight="1">
      <c r="A193" s="868"/>
      <c r="B193" s="868"/>
      <c r="C193" s="868"/>
      <c r="D193" s="868"/>
      <c r="E193" s="868"/>
      <c r="F193" s="868"/>
      <c r="G193" s="868"/>
      <c r="H193" s="869"/>
      <c r="I193" s="868"/>
      <c r="J193" s="868"/>
      <c r="K193" s="868"/>
      <c r="L193" s="868"/>
      <c r="M193" s="868"/>
      <c r="N193" s="868"/>
      <c r="O193" s="868"/>
      <c r="P193" s="868"/>
      <c r="Q193" s="868"/>
      <c r="R193" s="868"/>
      <c r="S193" s="868"/>
    </row>
    <row r="194" spans="1:19" ht="16.5" customHeight="1">
      <c r="A194" s="868"/>
      <c r="B194" s="868"/>
      <c r="C194" s="868"/>
      <c r="D194" s="868"/>
      <c r="E194" s="868"/>
      <c r="F194" s="868"/>
      <c r="G194" s="868"/>
      <c r="H194" s="869"/>
      <c r="I194" s="868"/>
      <c r="J194" s="868"/>
      <c r="K194" s="868"/>
      <c r="L194" s="868"/>
      <c r="M194" s="868"/>
      <c r="N194" s="868"/>
      <c r="O194" s="868"/>
      <c r="P194" s="868"/>
      <c r="Q194" s="868"/>
      <c r="R194" s="868"/>
      <c r="S194" s="868"/>
    </row>
    <row r="195" spans="1:19" ht="16.5" customHeight="1">
      <c r="A195" s="868"/>
      <c r="B195" s="868"/>
      <c r="C195" s="868"/>
      <c r="D195" s="868"/>
      <c r="E195" s="868"/>
      <c r="F195" s="868"/>
      <c r="G195" s="868"/>
      <c r="H195" s="869"/>
      <c r="I195" s="868"/>
      <c r="J195" s="868"/>
      <c r="K195" s="868"/>
      <c r="L195" s="868"/>
      <c r="M195" s="868"/>
      <c r="N195" s="868"/>
      <c r="O195" s="868"/>
      <c r="P195" s="868"/>
      <c r="Q195" s="868"/>
      <c r="R195" s="868"/>
      <c r="S195" s="868"/>
    </row>
    <row r="196" spans="1:19" ht="16.5" customHeight="1">
      <c r="A196" s="868"/>
      <c r="B196" s="868"/>
      <c r="C196" s="868"/>
      <c r="D196" s="868"/>
      <c r="E196" s="868"/>
      <c r="F196" s="868"/>
      <c r="G196" s="868"/>
      <c r="H196" s="869"/>
      <c r="I196" s="868"/>
      <c r="J196" s="868"/>
      <c r="K196" s="868"/>
      <c r="L196" s="868"/>
      <c r="M196" s="868"/>
      <c r="N196" s="868"/>
      <c r="O196" s="868"/>
      <c r="P196" s="868"/>
      <c r="Q196" s="868"/>
      <c r="R196" s="868"/>
      <c r="S196" s="868"/>
    </row>
    <row r="197" spans="1:19" ht="16.5" customHeight="1">
      <c r="A197" s="868"/>
      <c r="B197" s="868"/>
      <c r="C197" s="868"/>
      <c r="D197" s="868"/>
      <c r="E197" s="868"/>
      <c r="F197" s="868"/>
      <c r="G197" s="868"/>
      <c r="H197" s="869"/>
      <c r="I197" s="868"/>
      <c r="J197" s="868"/>
      <c r="K197" s="868"/>
      <c r="L197" s="868"/>
      <c r="M197" s="868"/>
      <c r="N197" s="868"/>
      <c r="O197" s="868"/>
      <c r="P197" s="868"/>
      <c r="Q197" s="868"/>
      <c r="R197" s="868"/>
      <c r="S197" s="868"/>
    </row>
    <row r="198" spans="1:19" ht="16.5" customHeight="1">
      <c r="A198" s="868"/>
      <c r="B198" s="868"/>
      <c r="C198" s="868"/>
      <c r="D198" s="868"/>
      <c r="E198" s="868"/>
      <c r="F198" s="868"/>
      <c r="G198" s="868"/>
      <c r="H198" s="869"/>
      <c r="I198" s="868"/>
      <c r="J198" s="868"/>
      <c r="K198" s="868"/>
      <c r="L198" s="868"/>
      <c r="M198" s="868"/>
      <c r="N198" s="868"/>
      <c r="O198" s="868"/>
      <c r="P198" s="868"/>
      <c r="Q198" s="868"/>
      <c r="R198" s="868"/>
      <c r="S198" s="868"/>
    </row>
    <row r="199" spans="1:19" ht="16.5" customHeight="1">
      <c r="A199" s="868"/>
      <c r="B199" s="868"/>
      <c r="C199" s="868"/>
      <c r="D199" s="868"/>
      <c r="E199" s="868"/>
      <c r="F199" s="868"/>
      <c r="G199" s="868"/>
      <c r="H199" s="869"/>
      <c r="I199" s="868"/>
      <c r="J199" s="868"/>
      <c r="K199" s="868"/>
      <c r="L199" s="868"/>
      <c r="M199" s="868"/>
      <c r="N199" s="868"/>
      <c r="O199" s="868"/>
      <c r="P199" s="868"/>
      <c r="Q199" s="868"/>
      <c r="R199" s="868"/>
      <c r="S199" s="868"/>
    </row>
    <row r="200" spans="1:19" ht="16.5" customHeight="1">
      <c r="A200" s="868"/>
      <c r="B200" s="868"/>
      <c r="C200" s="868"/>
      <c r="D200" s="868"/>
      <c r="E200" s="868"/>
      <c r="F200" s="868"/>
      <c r="G200" s="868"/>
      <c r="H200" s="869"/>
      <c r="I200" s="868"/>
      <c r="J200" s="868"/>
      <c r="K200" s="868"/>
      <c r="L200" s="868"/>
      <c r="M200" s="868"/>
      <c r="N200" s="868"/>
      <c r="O200" s="868"/>
      <c r="P200" s="868"/>
      <c r="Q200" s="868"/>
      <c r="R200" s="868"/>
      <c r="S200" s="868"/>
    </row>
    <row r="201" spans="1:19" ht="16.5" customHeight="1">
      <c r="A201" s="868"/>
      <c r="B201" s="868"/>
      <c r="C201" s="868"/>
      <c r="D201" s="868"/>
      <c r="E201" s="868"/>
      <c r="F201" s="868"/>
      <c r="G201" s="868"/>
      <c r="H201" s="869"/>
      <c r="I201" s="868"/>
      <c r="J201" s="868"/>
      <c r="K201" s="868"/>
      <c r="L201" s="868"/>
      <c r="M201" s="868"/>
      <c r="N201" s="868"/>
      <c r="O201" s="868"/>
      <c r="P201" s="868"/>
      <c r="Q201" s="868"/>
      <c r="R201" s="868"/>
      <c r="S201" s="868"/>
    </row>
    <row r="202" spans="1:19" ht="16.5" customHeight="1">
      <c r="A202" s="868"/>
      <c r="B202" s="868"/>
      <c r="C202" s="868"/>
      <c r="D202" s="868"/>
      <c r="E202" s="868"/>
      <c r="F202" s="868"/>
      <c r="G202" s="868"/>
      <c r="H202" s="869"/>
      <c r="I202" s="868"/>
      <c r="J202" s="868"/>
      <c r="K202" s="868"/>
      <c r="L202" s="868"/>
      <c r="M202" s="868"/>
      <c r="N202" s="868"/>
      <c r="O202" s="868"/>
      <c r="P202" s="868"/>
      <c r="Q202" s="868"/>
      <c r="R202" s="868"/>
      <c r="S202" s="868"/>
    </row>
    <row r="203" spans="1:19" ht="16.5" customHeight="1">
      <c r="A203" s="868"/>
      <c r="B203" s="868"/>
      <c r="C203" s="868"/>
      <c r="D203" s="868"/>
      <c r="E203" s="868"/>
      <c r="F203" s="868"/>
      <c r="G203" s="868"/>
      <c r="H203" s="869"/>
      <c r="I203" s="868"/>
      <c r="J203" s="868"/>
      <c r="K203" s="868"/>
      <c r="L203" s="868"/>
      <c r="M203" s="868"/>
      <c r="N203" s="868"/>
      <c r="O203" s="868"/>
      <c r="P203" s="868"/>
      <c r="Q203" s="868"/>
      <c r="R203" s="868"/>
      <c r="S203" s="868"/>
    </row>
    <row r="204" spans="1:19" ht="16.5" customHeight="1">
      <c r="A204" s="868"/>
      <c r="B204" s="868"/>
      <c r="C204" s="868"/>
      <c r="D204" s="868"/>
      <c r="E204" s="868"/>
      <c r="F204" s="868"/>
      <c r="G204" s="868"/>
      <c r="H204" s="869"/>
      <c r="I204" s="868"/>
      <c r="J204" s="868"/>
      <c r="K204" s="868"/>
      <c r="L204" s="868"/>
      <c r="M204" s="868"/>
      <c r="N204" s="868"/>
      <c r="O204" s="868"/>
      <c r="P204" s="868"/>
      <c r="Q204" s="868"/>
      <c r="R204" s="868"/>
      <c r="S204" s="868"/>
    </row>
    <row r="205" spans="1:19" ht="16.5" customHeight="1">
      <c r="A205" s="868"/>
      <c r="B205" s="868"/>
      <c r="C205" s="868"/>
      <c r="D205" s="868"/>
      <c r="E205" s="868"/>
      <c r="F205" s="868"/>
      <c r="G205" s="868"/>
      <c r="H205" s="869"/>
      <c r="I205" s="868"/>
      <c r="J205" s="868"/>
      <c r="K205" s="868"/>
      <c r="L205" s="868"/>
      <c r="M205" s="868"/>
      <c r="N205" s="868"/>
      <c r="O205" s="868"/>
      <c r="P205" s="868"/>
      <c r="Q205" s="868"/>
      <c r="R205" s="868"/>
      <c r="S205" s="868"/>
    </row>
    <row r="206" spans="1:19" ht="16.5" customHeight="1">
      <c r="A206" s="868"/>
      <c r="B206" s="868"/>
      <c r="C206" s="868"/>
      <c r="D206" s="868"/>
      <c r="E206" s="868"/>
      <c r="F206" s="868"/>
      <c r="G206" s="868"/>
      <c r="H206" s="869"/>
      <c r="I206" s="868"/>
      <c r="J206" s="868"/>
      <c r="K206" s="868"/>
      <c r="L206" s="868"/>
      <c r="M206" s="868"/>
      <c r="N206" s="868"/>
      <c r="O206" s="868"/>
      <c r="P206" s="868"/>
      <c r="Q206" s="868"/>
      <c r="R206" s="868"/>
      <c r="S206" s="868"/>
    </row>
    <row r="207" spans="1:19" ht="16.5" customHeight="1">
      <c r="A207" s="868"/>
      <c r="B207" s="868"/>
      <c r="C207" s="868"/>
      <c r="D207" s="868"/>
      <c r="E207" s="868"/>
      <c r="F207" s="868"/>
      <c r="G207" s="868"/>
      <c r="H207" s="869"/>
      <c r="I207" s="868"/>
      <c r="J207" s="868"/>
      <c r="K207" s="868"/>
      <c r="L207" s="868"/>
      <c r="M207" s="868"/>
      <c r="N207" s="868"/>
      <c r="O207" s="868"/>
      <c r="P207" s="868"/>
      <c r="Q207" s="868"/>
      <c r="R207" s="868"/>
      <c r="S207" s="868"/>
    </row>
    <row r="208" spans="1:19" ht="16.5" customHeight="1">
      <c r="A208" s="868"/>
      <c r="B208" s="868"/>
      <c r="C208" s="868"/>
      <c r="D208" s="868"/>
      <c r="E208" s="868"/>
      <c r="F208" s="868"/>
      <c r="G208" s="868"/>
      <c r="H208" s="869"/>
      <c r="I208" s="868"/>
      <c r="J208" s="868"/>
      <c r="K208" s="868"/>
      <c r="L208" s="868"/>
      <c r="M208" s="868"/>
      <c r="N208" s="868"/>
      <c r="O208" s="868"/>
      <c r="P208" s="868"/>
      <c r="Q208" s="868"/>
      <c r="R208" s="868"/>
      <c r="S208" s="868"/>
    </row>
    <row r="209" spans="1:19" ht="16.5" customHeight="1">
      <c r="A209" s="868"/>
      <c r="B209" s="868"/>
      <c r="C209" s="868"/>
      <c r="D209" s="868"/>
      <c r="E209" s="868"/>
      <c r="F209" s="868"/>
      <c r="G209" s="868"/>
      <c r="H209" s="869"/>
      <c r="I209" s="868"/>
      <c r="J209" s="868"/>
      <c r="K209" s="868"/>
      <c r="L209" s="868"/>
      <c r="M209" s="868"/>
      <c r="N209" s="868"/>
      <c r="O209" s="868"/>
      <c r="P209" s="868"/>
      <c r="Q209" s="868"/>
      <c r="R209" s="868"/>
      <c r="S209" s="868"/>
    </row>
    <row r="210" spans="1:19" ht="16.5" customHeight="1">
      <c r="A210" s="868"/>
      <c r="B210" s="868"/>
      <c r="C210" s="868"/>
      <c r="D210" s="868"/>
      <c r="E210" s="868"/>
      <c r="F210" s="868"/>
      <c r="G210" s="868"/>
      <c r="H210" s="869"/>
      <c r="I210" s="868"/>
      <c r="J210" s="868"/>
      <c r="K210" s="868"/>
      <c r="L210" s="868"/>
      <c r="M210" s="868"/>
      <c r="N210" s="868"/>
      <c r="O210" s="868"/>
      <c r="P210" s="868"/>
      <c r="Q210" s="868"/>
      <c r="R210" s="868"/>
      <c r="S210" s="868"/>
    </row>
    <row r="211" spans="1:19" ht="16.5" customHeight="1">
      <c r="A211" s="868"/>
      <c r="B211" s="868"/>
      <c r="C211" s="868"/>
      <c r="D211" s="868"/>
      <c r="E211" s="868"/>
      <c r="F211" s="868"/>
      <c r="G211" s="868"/>
      <c r="H211" s="869"/>
      <c r="I211" s="868"/>
      <c r="J211" s="868"/>
      <c r="K211" s="868"/>
      <c r="L211" s="868"/>
      <c r="M211" s="868"/>
      <c r="N211" s="868"/>
      <c r="O211" s="868"/>
      <c r="P211" s="868"/>
      <c r="Q211" s="868"/>
      <c r="R211" s="868"/>
      <c r="S211" s="868"/>
    </row>
    <row r="212" spans="1:19" ht="16.5" customHeight="1">
      <c r="A212" s="868"/>
      <c r="B212" s="868"/>
      <c r="C212" s="868"/>
      <c r="D212" s="868"/>
      <c r="E212" s="868"/>
      <c r="F212" s="868"/>
      <c r="G212" s="868"/>
      <c r="H212" s="869"/>
      <c r="I212" s="868"/>
      <c r="J212" s="868"/>
      <c r="K212" s="868"/>
      <c r="L212" s="868"/>
      <c r="M212" s="868"/>
      <c r="N212" s="868"/>
      <c r="O212" s="868"/>
      <c r="P212" s="868"/>
      <c r="Q212" s="868"/>
      <c r="R212" s="868"/>
      <c r="S212" s="868"/>
    </row>
    <row r="213" spans="1:19" ht="16.5" customHeight="1">
      <c r="A213" s="868"/>
      <c r="B213" s="868"/>
      <c r="C213" s="868"/>
      <c r="D213" s="868"/>
      <c r="E213" s="868"/>
      <c r="F213" s="868"/>
      <c r="G213" s="868"/>
      <c r="H213" s="869"/>
      <c r="I213" s="868"/>
      <c r="J213" s="868"/>
      <c r="K213" s="868"/>
      <c r="L213" s="868"/>
      <c r="M213" s="868"/>
      <c r="N213" s="868"/>
      <c r="O213" s="868"/>
      <c r="P213" s="868"/>
      <c r="Q213" s="868"/>
      <c r="R213" s="868"/>
      <c r="S213" s="868"/>
    </row>
    <row r="214" spans="1:19" ht="16.5" customHeight="1">
      <c r="A214" s="868"/>
      <c r="B214" s="868"/>
      <c r="C214" s="868"/>
      <c r="D214" s="868"/>
      <c r="E214" s="868"/>
      <c r="F214" s="868"/>
      <c r="G214" s="868"/>
      <c r="H214" s="869"/>
      <c r="I214" s="868"/>
      <c r="J214" s="868"/>
      <c r="K214" s="868"/>
      <c r="L214" s="868"/>
      <c r="M214" s="868"/>
      <c r="N214" s="868"/>
      <c r="O214" s="868"/>
      <c r="P214" s="868"/>
      <c r="Q214" s="868"/>
      <c r="R214" s="868"/>
      <c r="S214" s="868"/>
    </row>
    <row r="215" spans="1:19" ht="16.5" customHeight="1">
      <c r="A215" s="868"/>
      <c r="B215" s="868"/>
      <c r="C215" s="868"/>
      <c r="D215" s="868"/>
      <c r="E215" s="868"/>
      <c r="F215" s="868"/>
      <c r="G215" s="868"/>
      <c r="H215" s="869"/>
      <c r="I215" s="868"/>
      <c r="J215" s="868"/>
      <c r="K215" s="868"/>
      <c r="L215" s="868"/>
      <c r="M215" s="868"/>
      <c r="N215" s="868"/>
      <c r="O215" s="868"/>
      <c r="P215" s="868"/>
      <c r="Q215" s="868"/>
      <c r="R215" s="868"/>
      <c r="S215" s="868"/>
    </row>
    <row r="216" spans="1:19" ht="16.5" customHeight="1">
      <c r="A216" s="868"/>
      <c r="B216" s="868"/>
      <c r="C216" s="868"/>
      <c r="D216" s="868"/>
      <c r="E216" s="868"/>
      <c r="F216" s="868"/>
      <c r="G216" s="868"/>
      <c r="H216" s="869"/>
      <c r="I216" s="868"/>
      <c r="J216" s="868"/>
      <c r="K216" s="868"/>
      <c r="L216" s="868"/>
      <c r="M216" s="868"/>
      <c r="N216" s="868"/>
      <c r="O216" s="868"/>
      <c r="P216" s="868"/>
      <c r="Q216" s="868"/>
      <c r="R216" s="868"/>
      <c r="S216" s="868"/>
    </row>
    <row r="217" spans="1:19" ht="16.5" customHeight="1">
      <c r="A217" s="868"/>
      <c r="B217" s="868"/>
      <c r="C217" s="868"/>
      <c r="D217" s="868"/>
      <c r="E217" s="868"/>
      <c r="F217" s="868"/>
      <c r="G217" s="868"/>
      <c r="H217" s="869"/>
      <c r="I217" s="868"/>
      <c r="J217" s="868"/>
      <c r="K217" s="868"/>
      <c r="L217" s="868"/>
      <c r="M217" s="868"/>
      <c r="N217" s="868"/>
      <c r="O217" s="868"/>
      <c r="P217" s="868"/>
      <c r="Q217" s="868"/>
      <c r="R217" s="868"/>
      <c r="S217" s="868"/>
    </row>
    <row r="218" spans="1:19" ht="16.5" customHeight="1">
      <c r="A218" s="868"/>
      <c r="B218" s="868"/>
      <c r="C218" s="868"/>
      <c r="D218" s="868"/>
      <c r="E218" s="868"/>
      <c r="F218" s="868"/>
      <c r="G218" s="868"/>
      <c r="H218" s="869"/>
      <c r="I218" s="868"/>
      <c r="J218" s="868"/>
      <c r="K218" s="868"/>
      <c r="L218" s="868"/>
      <c r="M218" s="868"/>
      <c r="N218" s="868"/>
      <c r="O218" s="868"/>
      <c r="P218" s="868"/>
      <c r="Q218" s="868"/>
      <c r="R218" s="868"/>
      <c r="S218" s="868"/>
    </row>
    <row r="219" spans="1:19" ht="16.5" customHeight="1">
      <c r="A219" s="868"/>
      <c r="B219" s="868"/>
      <c r="C219" s="868"/>
      <c r="D219" s="868"/>
      <c r="E219" s="868"/>
      <c r="F219" s="868"/>
      <c r="G219" s="868"/>
      <c r="H219" s="869"/>
      <c r="I219" s="868"/>
      <c r="J219" s="868"/>
      <c r="K219" s="868"/>
      <c r="L219" s="868"/>
      <c r="M219" s="868"/>
      <c r="N219" s="868"/>
      <c r="O219" s="868"/>
      <c r="P219" s="868"/>
      <c r="Q219" s="868"/>
      <c r="R219" s="868"/>
      <c r="S219" s="868"/>
    </row>
    <row r="220" spans="1:19" ht="16.5" customHeight="1">
      <c r="A220" s="868"/>
      <c r="B220" s="868"/>
      <c r="C220" s="868"/>
      <c r="D220" s="868"/>
      <c r="E220" s="868"/>
      <c r="F220" s="868"/>
      <c r="G220" s="868"/>
      <c r="H220" s="869"/>
      <c r="I220" s="868"/>
      <c r="J220" s="868"/>
      <c r="K220" s="868"/>
      <c r="L220" s="868"/>
      <c r="M220" s="868"/>
      <c r="N220" s="868"/>
      <c r="O220" s="868"/>
      <c r="P220" s="868"/>
      <c r="Q220" s="868"/>
      <c r="R220" s="868"/>
      <c r="S220" s="868"/>
    </row>
    <row r="221" spans="1:19" ht="16.5" customHeight="1">
      <c r="A221" s="868"/>
      <c r="B221" s="868"/>
      <c r="C221" s="868"/>
      <c r="D221" s="868"/>
      <c r="E221" s="868"/>
      <c r="F221" s="868"/>
      <c r="G221" s="868"/>
      <c r="H221" s="869"/>
      <c r="I221" s="868"/>
      <c r="J221" s="868"/>
      <c r="K221" s="868"/>
      <c r="L221" s="868"/>
      <c r="M221" s="868"/>
      <c r="N221" s="868"/>
      <c r="O221" s="868"/>
      <c r="P221" s="868"/>
      <c r="Q221" s="868"/>
      <c r="R221" s="868"/>
      <c r="S221" s="868"/>
    </row>
    <row r="222" spans="1:19" ht="16.5" customHeight="1">
      <c r="A222" s="868"/>
      <c r="B222" s="868"/>
      <c r="C222" s="868"/>
      <c r="D222" s="868"/>
      <c r="E222" s="868"/>
      <c r="F222" s="868"/>
      <c r="G222" s="868"/>
      <c r="H222" s="869"/>
      <c r="I222" s="868"/>
      <c r="J222" s="868"/>
      <c r="K222" s="868"/>
      <c r="L222" s="868"/>
      <c r="M222" s="868"/>
      <c r="N222" s="868"/>
      <c r="O222" s="868"/>
      <c r="P222" s="868"/>
      <c r="Q222" s="868"/>
      <c r="R222" s="868"/>
      <c r="S222" s="868"/>
    </row>
    <row r="223" spans="1:19" ht="16.5" customHeight="1">
      <c r="A223" s="868"/>
      <c r="B223" s="868"/>
      <c r="C223" s="868"/>
      <c r="D223" s="868"/>
      <c r="E223" s="868"/>
      <c r="F223" s="868"/>
      <c r="G223" s="868"/>
      <c r="H223" s="869"/>
      <c r="I223" s="868"/>
      <c r="J223" s="868"/>
      <c r="K223" s="868"/>
      <c r="L223" s="868"/>
      <c r="M223" s="868"/>
      <c r="N223" s="868"/>
      <c r="O223" s="868"/>
      <c r="P223" s="868"/>
      <c r="Q223" s="868"/>
      <c r="R223" s="868"/>
      <c r="S223" s="868"/>
    </row>
    <row r="224" spans="1:19" ht="16.5" customHeight="1">
      <c r="A224" s="868"/>
      <c r="B224" s="868"/>
      <c r="C224" s="868"/>
      <c r="D224" s="868"/>
      <c r="E224" s="868"/>
      <c r="F224" s="868"/>
      <c r="G224" s="868"/>
      <c r="H224" s="869"/>
      <c r="I224" s="868"/>
      <c r="J224" s="868"/>
      <c r="K224" s="868"/>
      <c r="L224" s="868"/>
      <c r="M224" s="868"/>
      <c r="N224" s="868"/>
      <c r="O224" s="868"/>
      <c r="P224" s="868"/>
      <c r="Q224" s="868"/>
      <c r="R224" s="868"/>
      <c r="S224" s="868"/>
    </row>
    <row r="225" spans="1:19" ht="16.5" customHeight="1">
      <c r="A225" s="868"/>
      <c r="B225" s="868"/>
      <c r="C225" s="868"/>
      <c r="D225" s="868"/>
      <c r="E225" s="868"/>
      <c r="F225" s="868"/>
      <c r="G225" s="868"/>
      <c r="H225" s="869"/>
      <c r="I225" s="868"/>
      <c r="J225" s="868"/>
      <c r="K225" s="868"/>
      <c r="L225" s="868"/>
      <c r="M225" s="868"/>
      <c r="N225" s="868"/>
      <c r="O225" s="868"/>
      <c r="P225" s="868"/>
      <c r="Q225" s="868"/>
      <c r="R225" s="868"/>
      <c r="S225" s="868"/>
    </row>
    <row r="226" spans="1:19" ht="16.5" customHeight="1">
      <c r="A226" s="868"/>
      <c r="B226" s="868"/>
      <c r="C226" s="868"/>
      <c r="D226" s="868"/>
      <c r="E226" s="868"/>
      <c r="F226" s="868"/>
      <c r="G226" s="868"/>
      <c r="H226" s="869"/>
      <c r="I226" s="868"/>
      <c r="J226" s="868"/>
      <c r="K226" s="868"/>
      <c r="L226" s="868"/>
      <c r="M226" s="868"/>
      <c r="N226" s="868"/>
      <c r="O226" s="868"/>
      <c r="P226" s="868"/>
      <c r="Q226" s="868"/>
      <c r="R226" s="868"/>
      <c r="S226" s="868"/>
    </row>
    <row r="227" spans="1:19" ht="16.5" customHeight="1">
      <c r="A227" s="868"/>
      <c r="B227" s="868"/>
      <c r="C227" s="868"/>
      <c r="D227" s="868"/>
      <c r="E227" s="868"/>
      <c r="F227" s="868"/>
      <c r="G227" s="868"/>
      <c r="H227" s="869"/>
      <c r="I227" s="868"/>
      <c r="J227" s="868"/>
      <c r="K227" s="868"/>
      <c r="L227" s="868"/>
      <c r="M227" s="868"/>
      <c r="N227" s="868"/>
      <c r="O227" s="868"/>
      <c r="P227" s="868"/>
      <c r="Q227" s="868"/>
      <c r="R227" s="868"/>
      <c r="S227" s="868"/>
    </row>
    <row r="228" spans="1:19" ht="16.5" customHeight="1">
      <c r="A228" s="868"/>
      <c r="B228" s="868"/>
      <c r="C228" s="868"/>
      <c r="D228" s="868"/>
      <c r="E228" s="868"/>
      <c r="F228" s="868"/>
      <c r="G228" s="868"/>
      <c r="H228" s="869"/>
      <c r="I228" s="868"/>
      <c r="J228" s="868"/>
      <c r="K228" s="868"/>
      <c r="L228" s="868"/>
      <c r="M228" s="868"/>
      <c r="N228" s="868"/>
      <c r="O228" s="868"/>
      <c r="P228" s="868"/>
      <c r="Q228" s="868"/>
      <c r="R228" s="868"/>
      <c r="S228" s="868"/>
    </row>
    <row r="229" spans="1:19" ht="16.5" customHeight="1">
      <c r="A229" s="868"/>
      <c r="B229" s="868"/>
      <c r="C229" s="868"/>
      <c r="D229" s="868"/>
      <c r="E229" s="868"/>
      <c r="F229" s="868"/>
      <c r="G229" s="868"/>
      <c r="H229" s="869"/>
      <c r="I229" s="868"/>
      <c r="J229" s="868"/>
      <c r="K229" s="868"/>
      <c r="L229" s="868"/>
      <c r="M229" s="868"/>
      <c r="N229" s="868"/>
      <c r="O229" s="868"/>
      <c r="P229" s="868"/>
      <c r="Q229" s="868"/>
      <c r="R229" s="868"/>
      <c r="S229" s="868"/>
    </row>
    <row r="230" spans="1:19" ht="16.5" customHeight="1">
      <c r="A230" s="868"/>
      <c r="B230" s="868"/>
      <c r="C230" s="868"/>
      <c r="D230" s="868"/>
      <c r="E230" s="868"/>
      <c r="F230" s="868"/>
      <c r="G230" s="868"/>
      <c r="H230" s="869"/>
      <c r="I230" s="868"/>
      <c r="J230" s="868"/>
      <c r="K230" s="868"/>
      <c r="L230" s="868"/>
      <c r="M230" s="868"/>
      <c r="N230" s="868"/>
      <c r="O230" s="868"/>
      <c r="P230" s="868"/>
      <c r="Q230" s="868"/>
      <c r="R230" s="868"/>
      <c r="S230" s="868"/>
    </row>
    <row r="231" spans="1:19" ht="16.5" customHeight="1">
      <c r="A231" s="868"/>
      <c r="B231" s="868"/>
      <c r="C231" s="868"/>
      <c r="D231" s="868"/>
      <c r="E231" s="868"/>
      <c r="F231" s="868"/>
      <c r="G231" s="868"/>
      <c r="H231" s="869"/>
      <c r="I231" s="868"/>
      <c r="J231" s="868"/>
      <c r="K231" s="868"/>
      <c r="L231" s="868"/>
      <c r="M231" s="868"/>
      <c r="N231" s="868"/>
      <c r="O231" s="868"/>
      <c r="P231" s="868"/>
      <c r="Q231" s="868"/>
      <c r="R231" s="868"/>
      <c r="S231" s="868"/>
    </row>
    <row r="232" spans="1:19" ht="16.5" customHeight="1">
      <c r="A232" s="868"/>
      <c r="B232" s="868"/>
      <c r="C232" s="868"/>
      <c r="D232" s="868"/>
      <c r="E232" s="868"/>
      <c r="F232" s="868"/>
      <c r="G232" s="868"/>
      <c r="H232" s="869"/>
      <c r="I232" s="868"/>
      <c r="J232" s="868"/>
      <c r="K232" s="868"/>
      <c r="L232" s="868"/>
      <c r="M232" s="868"/>
      <c r="N232" s="868"/>
      <c r="O232" s="868"/>
      <c r="P232" s="868"/>
      <c r="Q232" s="868"/>
      <c r="R232" s="868"/>
      <c r="S232" s="868"/>
    </row>
    <row r="233" spans="1:19" ht="16.5" customHeight="1">
      <c r="A233" s="868"/>
      <c r="B233" s="868"/>
      <c r="C233" s="868"/>
      <c r="D233" s="868"/>
      <c r="E233" s="868"/>
      <c r="F233" s="868"/>
      <c r="G233" s="868"/>
      <c r="H233" s="869"/>
      <c r="I233" s="868"/>
      <c r="J233" s="868"/>
      <c r="K233" s="868"/>
      <c r="L233" s="868"/>
      <c r="M233" s="868"/>
      <c r="N233" s="868"/>
      <c r="O233" s="868"/>
      <c r="P233" s="868"/>
      <c r="Q233" s="868"/>
      <c r="R233" s="868"/>
      <c r="S233" s="868"/>
    </row>
    <row r="234" spans="1:19" ht="16.5" customHeight="1">
      <c r="A234" s="868"/>
      <c r="B234" s="868"/>
      <c r="C234" s="868"/>
      <c r="D234" s="868"/>
      <c r="E234" s="868"/>
      <c r="F234" s="868"/>
      <c r="G234" s="868"/>
      <c r="H234" s="869"/>
      <c r="I234" s="868"/>
      <c r="J234" s="868"/>
      <c r="K234" s="868"/>
      <c r="L234" s="868"/>
      <c r="M234" s="868"/>
      <c r="N234" s="868"/>
      <c r="O234" s="868"/>
      <c r="P234" s="868"/>
      <c r="Q234" s="868"/>
      <c r="R234" s="868"/>
      <c r="S234" s="868"/>
    </row>
    <row r="235" spans="1:19" ht="16.5" customHeight="1">
      <c r="A235" s="868"/>
      <c r="B235" s="868"/>
      <c r="C235" s="868"/>
      <c r="D235" s="868"/>
      <c r="E235" s="868"/>
      <c r="F235" s="868"/>
      <c r="G235" s="868"/>
      <c r="H235" s="869"/>
      <c r="I235" s="868"/>
      <c r="J235" s="868"/>
      <c r="K235" s="868"/>
      <c r="L235" s="868"/>
      <c r="M235" s="868"/>
      <c r="N235" s="868"/>
      <c r="O235" s="868"/>
      <c r="P235" s="868"/>
      <c r="Q235" s="868"/>
      <c r="R235" s="868"/>
      <c r="S235" s="868"/>
    </row>
    <row r="236" spans="1:19" ht="16.5" customHeight="1"/>
  </sheetData>
  <mergeCells count="2">
    <mergeCell ref="G1:L1"/>
    <mergeCell ref="N1:R1"/>
  </mergeCells>
  <pageMargins left="0.25" right="0.25" top="0.75" bottom="0.75" header="0.3" footer="0.3"/>
  <pageSetup paperSize="8" scale="5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7433-362E-E841-BEAE-E4C6171FA6E6}">
  <dimension ref="A1:U235"/>
  <sheetViews>
    <sheetView zoomScale="61" zoomScaleNormal="61" workbookViewId="0">
      <selection activeCell="H13" sqref="H13"/>
    </sheetView>
  </sheetViews>
  <sheetFormatPr baseColWidth="10" defaultColWidth="9" defaultRowHeight="15"/>
  <cols>
    <col min="1" max="1" width="8.83203125" style="580" customWidth="1"/>
    <col min="2" max="2" width="33.83203125" style="580" bestFit="1" customWidth="1"/>
    <col min="3" max="3" width="8.83203125" style="580" customWidth="1"/>
    <col min="4" max="4" width="32.1640625" style="580" bestFit="1" customWidth="1"/>
    <col min="5" max="5" width="8.83203125" style="580" customWidth="1"/>
    <col min="6" max="6" width="43.5" style="580" customWidth="1"/>
    <col min="7" max="7" width="8.83203125" style="580" customWidth="1"/>
    <col min="8" max="8" width="42.33203125" style="773" customWidth="1"/>
    <col min="9" max="9" width="17.1640625" style="583" bestFit="1" customWidth="1"/>
    <col min="10" max="10" width="14.33203125" style="583" customWidth="1"/>
    <col min="11" max="11" width="13.83203125" style="583" customWidth="1"/>
    <col min="12" max="12" width="8.1640625" style="580" customWidth="1"/>
    <col min="13" max="13" width="2.6640625" style="580" hidden="1" customWidth="1"/>
    <col min="14" max="14" width="49.5" style="580" customWidth="1"/>
    <col min="15" max="16" width="15.5" style="580" customWidth="1"/>
    <col min="17" max="17" width="13.83203125" style="580" customWidth="1"/>
    <col min="18" max="18" width="9.1640625" style="580" customWidth="1"/>
    <col min="19" max="19" width="42.6640625" style="902" bestFit="1" customWidth="1"/>
    <col min="20" max="20" width="45.6640625" style="902" customWidth="1"/>
    <col min="21" max="22" width="9" style="580"/>
    <col min="23" max="23" width="11.33203125" style="580" bestFit="1" customWidth="1"/>
    <col min="24" max="16384" width="9" style="580"/>
  </cols>
  <sheetData>
    <row r="1" spans="1:20" ht="55" customHeight="1">
      <c r="A1" s="486" t="s">
        <v>705</v>
      </c>
      <c r="B1" s="487" t="s">
        <v>971</v>
      </c>
      <c r="C1" s="488" t="s">
        <v>705</v>
      </c>
      <c r="D1" s="487" t="s">
        <v>972</v>
      </c>
      <c r="E1" s="489" t="s">
        <v>707</v>
      </c>
      <c r="F1" s="487" t="s">
        <v>973</v>
      </c>
      <c r="G1" s="490" t="s">
        <v>709</v>
      </c>
      <c r="H1" s="490"/>
      <c r="I1" s="490"/>
      <c r="J1" s="490"/>
      <c r="K1" s="490"/>
      <c r="L1" s="490"/>
      <c r="M1" s="639"/>
      <c r="N1" s="640" t="s">
        <v>710</v>
      </c>
      <c r="O1" s="641"/>
      <c r="P1" s="641"/>
      <c r="Q1" s="641"/>
      <c r="R1" s="641"/>
      <c r="S1" s="901"/>
    </row>
    <row r="2" spans="1:20" ht="58.5" customHeight="1">
      <c r="A2" s="642" t="s">
        <v>27</v>
      </c>
      <c r="B2" s="903" t="s">
        <v>974</v>
      </c>
      <c r="C2" s="644" t="s">
        <v>28</v>
      </c>
      <c r="D2" s="644" t="s">
        <v>837</v>
      </c>
      <c r="E2" s="645" t="s">
        <v>29</v>
      </c>
      <c r="F2" s="645" t="s">
        <v>713</v>
      </c>
      <c r="G2" s="646" t="s">
        <v>839</v>
      </c>
      <c r="H2" s="647" t="s">
        <v>840</v>
      </c>
      <c r="I2" s="648" t="s">
        <v>841</v>
      </c>
      <c r="J2" s="648" t="s">
        <v>842</v>
      </c>
      <c r="K2" s="648" t="s">
        <v>843</v>
      </c>
      <c r="L2" s="646" t="s">
        <v>844</v>
      </c>
      <c r="M2" s="649"/>
      <c r="N2" s="650" t="s">
        <v>840</v>
      </c>
      <c r="O2" s="650" t="s">
        <v>841</v>
      </c>
      <c r="P2" s="650" t="s">
        <v>845</v>
      </c>
      <c r="Q2" s="650" t="s">
        <v>846</v>
      </c>
      <c r="R2" s="651" t="s">
        <v>35</v>
      </c>
      <c r="S2" s="904" t="s">
        <v>847</v>
      </c>
    </row>
    <row r="3" spans="1:20" s="667" customFormat="1" ht="18">
      <c r="A3" s="905" t="s">
        <v>975</v>
      </c>
      <c r="B3" s="906" t="s">
        <v>976</v>
      </c>
      <c r="C3" s="249" t="s">
        <v>977</v>
      </c>
      <c r="D3" s="250" t="s">
        <v>978</v>
      </c>
      <c r="E3" s="907" t="s">
        <v>979</v>
      </c>
      <c r="F3" s="908" t="s">
        <v>980</v>
      </c>
      <c r="G3" s="909" t="s">
        <v>981</v>
      </c>
      <c r="H3" s="910" t="s">
        <v>982</v>
      </c>
      <c r="I3" s="911">
        <v>5000</v>
      </c>
      <c r="J3" s="912"/>
      <c r="K3" s="913">
        <f>ROUND(Table_C184[[#This Row],[기준일 현재 
집행액
(천원)]]/Table_C184[[#This Row],[사업비 예산
(천원)]]*100,2)</f>
        <v>0</v>
      </c>
      <c r="L3" s="914" t="s">
        <v>983</v>
      </c>
      <c r="M3" s="661"/>
      <c r="N3" s="915" t="s">
        <v>984</v>
      </c>
      <c r="O3" s="916"/>
      <c r="P3" s="917">
        <v>0</v>
      </c>
      <c r="Q3" s="665"/>
      <c r="R3" s="660" t="s">
        <v>983</v>
      </c>
      <c r="S3" s="918">
        <v>17700</v>
      </c>
      <c r="T3" s="919"/>
    </row>
    <row r="4" spans="1:20" s="667" customFormat="1" ht="18">
      <c r="A4" s="905" t="s">
        <v>975</v>
      </c>
      <c r="B4" s="906" t="s">
        <v>976</v>
      </c>
      <c r="C4" s="249" t="s">
        <v>977</v>
      </c>
      <c r="D4" s="250" t="s">
        <v>978</v>
      </c>
      <c r="E4" s="907" t="s">
        <v>979</v>
      </c>
      <c r="F4" s="908" t="s">
        <v>980</v>
      </c>
      <c r="G4" s="920"/>
      <c r="H4" s="921"/>
      <c r="I4" s="922"/>
      <c r="J4" s="923"/>
      <c r="K4" s="924"/>
      <c r="L4" s="925"/>
      <c r="M4" s="661"/>
      <c r="N4" s="915" t="s">
        <v>985</v>
      </c>
      <c r="O4" s="926"/>
      <c r="P4" s="927"/>
      <c r="Q4" s="665"/>
      <c r="R4" s="660" t="s">
        <v>986</v>
      </c>
      <c r="S4" s="918">
        <v>1900</v>
      </c>
      <c r="T4" s="928"/>
    </row>
    <row r="5" spans="1:20" s="667" customFormat="1" ht="18">
      <c r="A5" s="905" t="s">
        <v>975</v>
      </c>
      <c r="B5" s="906" t="s">
        <v>976</v>
      </c>
      <c r="C5" s="249" t="s">
        <v>977</v>
      </c>
      <c r="D5" s="250" t="s">
        <v>978</v>
      </c>
      <c r="E5" s="907" t="s">
        <v>979</v>
      </c>
      <c r="F5" s="908" t="s">
        <v>980</v>
      </c>
      <c r="G5" s="920"/>
      <c r="H5" s="921"/>
      <c r="I5" s="922"/>
      <c r="J5" s="923"/>
      <c r="K5" s="924"/>
      <c r="L5" s="925"/>
      <c r="M5" s="661"/>
      <c r="N5" s="929" t="s">
        <v>987</v>
      </c>
      <c r="O5" s="930">
        <v>2000</v>
      </c>
      <c r="P5" s="258"/>
      <c r="Q5" s="674"/>
      <c r="R5" s="258" t="s">
        <v>983</v>
      </c>
      <c r="S5" s="931" t="s">
        <v>988</v>
      </c>
      <c r="T5" s="919"/>
    </row>
    <row r="6" spans="1:20" s="667" customFormat="1" ht="32">
      <c r="A6" s="905" t="s">
        <v>975</v>
      </c>
      <c r="B6" s="906" t="s">
        <v>976</v>
      </c>
      <c r="C6" s="249" t="s">
        <v>977</v>
      </c>
      <c r="D6" s="250" t="s">
        <v>978</v>
      </c>
      <c r="E6" s="907" t="s">
        <v>979</v>
      </c>
      <c r="F6" s="908" t="s">
        <v>980</v>
      </c>
      <c r="G6" s="909" t="s">
        <v>989</v>
      </c>
      <c r="H6" s="932" t="s">
        <v>990</v>
      </c>
      <c r="I6" s="933">
        <v>28400</v>
      </c>
      <c r="J6" s="912">
        <v>27655</v>
      </c>
      <c r="K6" s="913">
        <f>ROUND(Table_C184[[#This Row],[기준일 현재 
집행액
(천원)]]/Table_C184[[#This Row],[사업비 예산
(천원)]]*100,2)</f>
        <v>97.38</v>
      </c>
      <c r="L6" s="914" t="s">
        <v>983</v>
      </c>
      <c r="M6" s="661"/>
      <c r="N6" s="929" t="s">
        <v>991</v>
      </c>
      <c r="O6" s="934">
        <v>5110</v>
      </c>
      <c r="P6" s="258">
        <v>5110</v>
      </c>
      <c r="Q6" s="674"/>
      <c r="R6" s="258" t="s">
        <v>983</v>
      </c>
      <c r="S6" s="935"/>
      <c r="T6" s="919"/>
    </row>
    <row r="7" spans="1:20" s="667" customFormat="1" ht="18">
      <c r="A7" s="905" t="s">
        <v>975</v>
      </c>
      <c r="B7" s="906" t="s">
        <v>976</v>
      </c>
      <c r="C7" s="249" t="s">
        <v>977</v>
      </c>
      <c r="D7" s="250" t="s">
        <v>978</v>
      </c>
      <c r="E7" s="907" t="s">
        <v>979</v>
      </c>
      <c r="F7" s="908" t="s">
        <v>980</v>
      </c>
      <c r="G7" s="920"/>
      <c r="H7" s="936"/>
      <c r="I7" s="922"/>
      <c r="J7" s="923"/>
      <c r="K7" s="937"/>
      <c r="L7" s="925"/>
      <c r="M7" s="661"/>
      <c r="N7" s="929" t="s">
        <v>992</v>
      </c>
      <c r="O7" s="934">
        <v>14890</v>
      </c>
      <c r="P7" s="258">
        <v>213</v>
      </c>
      <c r="Q7" s="674"/>
      <c r="R7" s="258" t="s">
        <v>983</v>
      </c>
      <c r="S7" s="931" t="s">
        <v>993</v>
      </c>
      <c r="T7" s="919" t="s">
        <v>994</v>
      </c>
    </row>
    <row r="8" spans="1:20" ht="32">
      <c r="A8" s="938" t="s">
        <v>2</v>
      </c>
      <c r="B8" s="939" t="s">
        <v>976</v>
      </c>
      <c r="C8" s="938" t="s">
        <v>977</v>
      </c>
      <c r="D8" s="939" t="s">
        <v>978</v>
      </c>
      <c r="E8" s="940" t="s">
        <v>995</v>
      </c>
      <c r="F8" s="941" t="s">
        <v>996</v>
      </c>
      <c r="G8" s="942" t="s">
        <v>997</v>
      </c>
      <c r="H8" s="943" t="s">
        <v>998</v>
      </c>
      <c r="I8" s="944">
        <v>11000</v>
      </c>
      <c r="J8" s="945"/>
      <c r="K8" s="946">
        <f>ROUND(Table_C184[[#This Row],[기준일 현재 
집행액
(천원)]]/Table_C184[[#This Row],[사업비 예산
(천원)]]*100,2)</f>
        <v>0</v>
      </c>
      <c r="L8" s="947" t="s">
        <v>983</v>
      </c>
      <c r="N8" s="948" t="s">
        <v>999</v>
      </c>
      <c r="O8" s="949">
        <v>10000</v>
      </c>
      <c r="P8" s="260"/>
      <c r="Q8" s="755"/>
      <c r="R8" s="260" t="s">
        <v>1000</v>
      </c>
      <c r="S8" s="950" t="s">
        <v>1001</v>
      </c>
    </row>
    <row r="9" spans="1:20" ht="32">
      <c r="A9" s="905" t="s">
        <v>2</v>
      </c>
      <c r="B9" s="906" t="s">
        <v>976</v>
      </c>
      <c r="C9" s="285" t="s">
        <v>1002</v>
      </c>
      <c r="D9" s="286" t="s">
        <v>1003</v>
      </c>
      <c r="E9" s="951" t="s">
        <v>1004</v>
      </c>
      <c r="F9" s="952" t="s">
        <v>1005</v>
      </c>
      <c r="G9" s="953" t="s">
        <v>1006</v>
      </c>
      <c r="H9" s="954" t="s">
        <v>1007</v>
      </c>
      <c r="I9" s="955">
        <v>30000</v>
      </c>
      <c r="J9" s="956"/>
      <c r="K9" s="957">
        <f>ROUND(Table_C184[[#This Row],[기준일 현재 
집행액
(천원)]]/Table_C184[[#This Row],[사업비 예산
(천원)]]*100,2)</f>
        <v>0</v>
      </c>
      <c r="L9" s="958" t="s">
        <v>983</v>
      </c>
      <c r="N9" s="959" t="s">
        <v>1008</v>
      </c>
      <c r="O9" s="947"/>
      <c r="P9" s="947"/>
      <c r="Q9" s="960"/>
      <c r="R9" s="947" t="s">
        <v>983</v>
      </c>
      <c r="S9" s="961">
        <v>14920</v>
      </c>
    </row>
    <row r="10" spans="1:20" ht="32">
      <c r="A10" s="905" t="s">
        <v>2</v>
      </c>
      <c r="B10" s="906" t="s">
        <v>976</v>
      </c>
      <c r="C10" s="285" t="s">
        <v>1002</v>
      </c>
      <c r="D10" s="286" t="s">
        <v>1003</v>
      </c>
      <c r="E10" s="951" t="s">
        <v>1004</v>
      </c>
      <c r="F10" s="952" t="s">
        <v>1005</v>
      </c>
      <c r="G10" s="920"/>
      <c r="H10" s="921"/>
      <c r="I10" s="922"/>
      <c r="J10" s="962"/>
      <c r="K10" s="924"/>
      <c r="L10" s="925"/>
      <c r="N10" s="929" t="s">
        <v>1009</v>
      </c>
      <c r="O10" s="930">
        <v>17000</v>
      </c>
      <c r="P10" s="258"/>
      <c r="Q10" s="674"/>
      <c r="R10" s="258" t="s">
        <v>983</v>
      </c>
      <c r="S10" s="931" t="s">
        <v>1010</v>
      </c>
    </row>
    <row r="11" spans="1:20" ht="32">
      <c r="A11" s="905" t="s">
        <v>2</v>
      </c>
      <c r="B11" s="906" t="s">
        <v>976</v>
      </c>
      <c r="C11" s="285" t="s">
        <v>1011</v>
      </c>
      <c r="D11" s="286" t="s">
        <v>1012</v>
      </c>
      <c r="E11" s="963" t="s">
        <v>1013</v>
      </c>
      <c r="F11" s="964" t="s">
        <v>1014</v>
      </c>
      <c r="G11" s="965"/>
      <c r="H11" s="966"/>
      <c r="I11" s="967"/>
      <c r="J11" s="968"/>
      <c r="K11" s="969"/>
      <c r="L11" s="970"/>
      <c r="N11" s="971" t="s">
        <v>1015</v>
      </c>
      <c r="O11" s="970"/>
      <c r="P11" s="970"/>
      <c r="Q11" s="972"/>
      <c r="R11" s="970"/>
      <c r="S11" s="973"/>
    </row>
    <row r="12" spans="1:20" ht="34">
      <c r="A12" s="905" t="s">
        <v>2</v>
      </c>
      <c r="B12" s="906" t="s">
        <v>976</v>
      </c>
      <c r="C12" s="285" t="s">
        <v>108</v>
      </c>
      <c r="D12" s="286" t="s">
        <v>1012</v>
      </c>
      <c r="E12" s="951" t="s">
        <v>1016</v>
      </c>
      <c r="F12" s="952" t="s">
        <v>1017</v>
      </c>
      <c r="G12" s="974" t="s">
        <v>1018</v>
      </c>
      <c r="H12" s="975" t="s">
        <v>1019</v>
      </c>
      <c r="I12" s="976">
        <v>40000</v>
      </c>
      <c r="J12" s="977"/>
      <c r="K12" s="978">
        <f>ROUND(Table_C184[[#This Row],[기준일 현재 
집행액
(천원)]]/Table_C184[[#This Row],[사업비 예산
(천원)]]*100,2)</f>
        <v>0</v>
      </c>
      <c r="L12" s="979" t="s">
        <v>983</v>
      </c>
      <c r="N12" s="959" t="s">
        <v>1020</v>
      </c>
      <c r="O12" s="947"/>
      <c r="P12" s="947"/>
      <c r="Q12" s="960"/>
      <c r="R12" s="947"/>
      <c r="S12" s="961">
        <v>200000</v>
      </c>
    </row>
    <row r="13" spans="1:20" ht="32">
      <c r="A13" s="905" t="s">
        <v>2</v>
      </c>
      <c r="B13" s="906" t="s">
        <v>976</v>
      </c>
      <c r="C13" s="285" t="s">
        <v>108</v>
      </c>
      <c r="D13" s="286" t="s">
        <v>1012</v>
      </c>
      <c r="E13" s="951" t="s">
        <v>1016</v>
      </c>
      <c r="F13" s="952" t="s">
        <v>1017</v>
      </c>
      <c r="G13" s="974" t="s">
        <v>1021</v>
      </c>
      <c r="H13" s="980" t="s">
        <v>1022</v>
      </c>
      <c r="I13" s="947">
        <v>200000</v>
      </c>
      <c r="J13" s="981"/>
      <c r="K13" s="946">
        <f>ROUND(Table_C184[[#This Row],[기준일 현재 
집행액
(천원)]]/Table_C184[[#This Row],[사업비 예산
(천원)]]*100,2)</f>
        <v>0</v>
      </c>
      <c r="L13" s="947"/>
      <c r="N13" s="959" t="s">
        <v>1023</v>
      </c>
      <c r="O13" s="947"/>
      <c r="P13" s="947"/>
      <c r="Q13" s="960"/>
      <c r="R13" s="947"/>
      <c r="S13" s="961">
        <v>50700</v>
      </c>
    </row>
    <row r="14" spans="1:20" ht="32">
      <c r="A14" s="905" t="s">
        <v>2</v>
      </c>
      <c r="B14" s="906" t="s">
        <v>976</v>
      </c>
      <c r="C14" s="285" t="s">
        <v>108</v>
      </c>
      <c r="D14" s="286" t="s">
        <v>1012</v>
      </c>
      <c r="E14" s="951" t="s">
        <v>1016</v>
      </c>
      <c r="F14" s="952" t="s">
        <v>1017</v>
      </c>
      <c r="G14" s="920"/>
      <c r="H14" s="921"/>
      <c r="I14" s="922"/>
      <c r="J14" s="962"/>
      <c r="K14" s="924"/>
      <c r="L14" s="925"/>
      <c r="N14" s="929" t="s">
        <v>1024</v>
      </c>
      <c r="O14" s="934"/>
      <c r="P14" s="258"/>
      <c r="Q14" s="674"/>
      <c r="R14" s="258"/>
      <c r="S14" s="982" t="s">
        <v>1025</v>
      </c>
    </row>
    <row r="15" spans="1:20" ht="32">
      <c r="A15" s="938" t="s">
        <v>2</v>
      </c>
      <c r="B15" s="939" t="s">
        <v>976</v>
      </c>
      <c r="C15" s="983" t="s">
        <v>108</v>
      </c>
      <c r="D15" s="984" t="s">
        <v>1012</v>
      </c>
      <c r="E15" s="985" t="s">
        <v>1026</v>
      </c>
      <c r="F15" s="986" t="s">
        <v>1027</v>
      </c>
      <c r="G15" s="953" t="s">
        <v>1028</v>
      </c>
      <c r="H15" s="987" t="s">
        <v>1029</v>
      </c>
      <c r="I15" s="988">
        <v>1000</v>
      </c>
      <c r="J15" s="989"/>
      <c r="K15" s="990">
        <f>ROUND(Table_C184[[#This Row],[기준일 현재 
집행액
(천원)]]/Table_C184[[#This Row],[사업비 예산
(천원)]]*100,2)</f>
        <v>0</v>
      </c>
      <c r="L15" s="991" t="s">
        <v>983</v>
      </c>
      <c r="N15" s="992" t="s">
        <v>1030</v>
      </c>
      <c r="O15" s="947"/>
      <c r="P15" s="947"/>
      <c r="Q15" s="960"/>
      <c r="R15" s="947" t="s">
        <v>852</v>
      </c>
      <c r="S15" s="961">
        <v>40000</v>
      </c>
    </row>
    <row r="16" spans="1:20" ht="32">
      <c r="A16" s="938" t="s">
        <v>2</v>
      </c>
      <c r="B16" s="939" t="s">
        <v>976</v>
      </c>
      <c r="C16" s="983" t="s">
        <v>108</v>
      </c>
      <c r="D16" s="984" t="s">
        <v>1012</v>
      </c>
      <c r="E16" s="983" t="s">
        <v>1026</v>
      </c>
      <c r="F16" s="993" t="s">
        <v>1027</v>
      </c>
      <c r="G16" s="953" t="s">
        <v>1031</v>
      </c>
      <c r="H16" s="994" t="s">
        <v>1032</v>
      </c>
      <c r="I16" s="955">
        <v>4000</v>
      </c>
      <c r="J16" s="956"/>
      <c r="K16" s="957">
        <f>ROUND(Table_C184[[#This Row],[기준일 현재 
집행액
(천원)]]/Table_C184[[#This Row],[사업비 예산
(천원)]]*100,2)</f>
        <v>0</v>
      </c>
      <c r="L16" s="958" t="s">
        <v>983</v>
      </c>
      <c r="N16" s="995"/>
      <c r="O16" s="925"/>
      <c r="P16" s="925"/>
      <c r="Q16" s="996"/>
      <c r="R16" s="925"/>
      <c r="S16" s="997"/>
    </row>
    <row r="17" spans="1:21" ht="32">
      <c r="A17" s="905" t="s">
        <v>1033</v>
      </c>
      <c r="B17" s="906" t="s">
        <v>1034</v>
      </c>
      <c r="C17" s="285" t="s">
        <v>1035</v>
      </c>
      <c r="D17" s="286" t="s">
        <v>1036</v>
      </c>
      <c r="E17" s="998" t="s">
        <v>1037</v>
      </c>
      <c r="F17" s="999" t="s">
        <v>1038</v>
      </c>
      <c r="G17" s="1000" t="s">
        <v>1039</v>
      </c>
      <c r="H17" s="1001" t="s">
        <v>1040</v>
      </c>
      <c r="I17" s="976">
        <v>10000</v>
      </c>
      <c r="J17" s="977"/>
      <c r="K17" s="978">
        <f>ROUND(Table_C184[[#This Row],[기준일 현재 
집행액
(천원)]]/Table_C184[[#This Row],[사업비 예산
(천원)]]*100,2)</f>
        <v>0</v>
      </c>
      <c r="L17" s="979" t="s">
        <v>983</v>
      </c>
      <c r="N17" s="959" t="s">
        <v>1041</v>
      </c>
      <c r="O17" s="947"/>
      <c r="P17" s="947"/>
      <c r="Q17" s="960"/>
      <c r="R17" s="947" t="s">
        <v>1042</v>
      </c>
      <c r="S17" s="961">
        <v>16600</v>
      </c>
    </row>
    <row r="18" spans="1:21" ht="32">
      <c r="A18" s="938" t="s">
        <v>1033</v>
      </c>
      <c r="B18" s="939" t="s">
        <v>1034</v>
      </c>
      <c r="C18" s="983" t="s">
        <v>1035</v>
      </c>
      <c r="D18" s="984" t="s">
        <v>1036</v>
      </c>
      <c r="E18" s="985" t="s">
        <v>1043</v>
      </c>
      <c r="F18" s="1002" t="s">
        <v>1044</v>
      </c>
      <c r="G18" s="1003" t="s">
        <v>1045</v>
      </c>
      <c r="H18" s="1004" t="s">
        <v>1046</v>
      </c>
      <c r="I18" s="258">
        <v>10000</v>
      </c>
      <c r="J18" s="1005"/>
      <c r="K18" s="1006">
        <f>ROUND(Table_C184[[#This Row],[기준일 현재 
집행액
(천원)]]/Table_C184[[#This Row],[사업비 예산
(천원)]]*100,2)</f>
        <v>0</v>
      </c>
      <c r="L18" s="258" t="s">
        <v>983</v>
      </c>
      <c r="N18" s="929" t="s">
        <v>1047</v>
      </c>
      <c r="O18" s="930">
        <v>19000</v>
      </c>
      <c r="P18" s="258"/>
      <c r="Q18" s="674"/>
      <c r="R18" s="258" t="s">
        <v>983</v>
      </c>
      <c r="S18" s="931" t="s">
        <v>1048</v>
      </c>
      <c r="T18" s="1007"/>
    </row>
    <row r="19" spans="1:21" ht="32">
      <c r="A19" s="938" t="s">
        <v>1033</v>
      </c>
      <c r="B19" s="939" t="s">
        <v>1034</v>
      </c>
      <c r="C19" s="983" t="s">
        <v>1035</v>
      </c>
      <c r="D19" s="984" t="s">
        <v>1036</v>
      </c>
      <c r="E19" s="985" t="s">
        <v>1043</v>
      </c>
      <c r="F19" s="1002" t="s">
        <v>1044</v>
      </c>
      <c r="G19" s="1008"/>
      <c r="H19" s="995"/>
      <c r="I19" s="925"/>
      <c r="J19" s="962"/>
      <c r="K19" s="924"/>
      <c r="L19" s="925"/>
      <c r="N19" s="959" t="s">
        <v>1049</v>
      </c>
      <c r="O19" s="947"/>
      <c r="P19" s="947"/>
      <c r="Q19" s="960"/>
      <c r="R19" s="947" t="s">
        <v>1042</v>
      </c>
      <c r="S19" s="961">
        <v>25150</v>
      </c>
      <c r="T19" s="1009"/>
    </row>
    <row r="20" spans="1:21" ht="32">
      <c r="A20" s="938" t="s">
        <v>1033</v>
      </c>
      <c r="B20" s="939" t="s">
        <v>1034</v>
      </c>
      <c r="C20" s="983" t="s">
        <v>1035</v>
      </c>
      <c r="D20" s="984" t="s">
        <v>1036</v>
      </c>
      <c r="E20" s="1010" t="s">
        <v>1043</v>
      </c>
      <c r="F20" s="1011" t="s">
        <v>1044</v>
      </c>
      <c r="G20" s="1008"/>
      <c r="H20" s="995"/>
      <c r="I20" s="925"/>
      <c r="J20" s="962"/>
      <c r="K20" s="924"/>
      <c r="L20" s="925"/>
      <c r="N20" s="959" t="s">
        <v>1050</v>
      </c>
      <c r="O20" s="947"/>
      <c r="P20" s="947"/>
      <c r="Q20" s="960"/>
      <c r="R20" s="947" t="s">
        <v>1042</v>
      </c>
      <c r="S20" s="961">
        <v>22680</v>
      </c>
      <c r="T20" s="919"/>
    </row>
    <row r="21" spans="1:21" ht="32">
      <c r="A21" s="938" t="s">
        <v>1033</v>
      </c>
      <c r="B21" s="939" t="s">
        <v>1034</v>
      </c>
      <c r="C21" s="983" t="s">
        <v>1035</v>
      </c>
      <c r="D21" s="984" t="s">
        <v>1036</v>
      </c>
      <c r="E21" s="1010" t="s">
        <v>1043</v>
      </c>
      <c r="F21" s="1011" t="s">
        <v>1044</v>
      </c>
      <c r="G21" s="1008"/>
      <c r="H21" s="995"/>
      <c r="I21" s="925"/>
      <c r="J21" s="962"/>
      <c r="K21" s="924"/>
      <c r="L21" s="925"/>
      <c r="N21" s="959" t="s">
        <v>1051</v>
      </c>
      <c r="O21" s="947"/>
      <c r="P21" s="947"/>
      <c r="Q21" s="960"/>
      <c r="R21" s="947" t="s">
        <v>983</v>
      </c>
      <c r="S21" s="961">
        <v>8060</v>
      </c>
      <c r="T21" s="919"/>
    </row>
    <row r="22" spans="1:21" ht="32">
      <c r="A22" s="938" t="s">
        <v>1033</v>
      </c>
      <c r="B22" s="939" t="s">
        <v>1034</v>
      </c>
      <c r="C22" s="983" t="s">
        <v>1035</v>
      </c>
      <c r="D22" s="984" t="s">
        <v>1036</v>
      </c>
      <c r="E22" s="1010" t="s">
        <v>1043</v>
      </c>
      <c r="F22" s="1011" t="s">
        <v>1044</v>
      </c>
      <c r="G22" s="1008"/>
      <c r="H22" s="995"/>
      <c r="I22" s="925"/>
      <c r="J22" s="962"/>
      <c r="K22" s="924"/>
      <c r="L22" s="925"/>
      <c r="N22" s="959" t="s">
        <v>1052</v>
      </c>
      <c r="O22" s="947"/>
      <c r="P22" s="947"/>
      <c r="Q22" s="960"/>
      <c r="R22" s="947" t="s">
        <v>1042</v>
      </c>
      <c r="S22" s="961">
        <v>1300</v>
      </c>
      <c r="T22" s="919"/>
    </row>
    <row r="23" spans="1:21" ht="32">
      <c r="A23" s="938" t="s">
        <v>1033</v>
      </c>
      <c r="B23" s="939" t="s">
        <v>1034</v>
      </c>
      <c r="C23" s="983" t="s">
        <v>1035</v>
      </c>
      <c r="D23" s="984" t="s">
        <v>1036</v>
      </c>
      <c r="E23" s="1010" t="s">
        <v>1043</v>
      </c>
      <c r="F23" s="1011" t="s">
        <v>1044</v>
      </c>
      <c r="G23" s="1008"/>
      <c r="H23" s="995"/>
      <c r="I23" s="925"/>
      <c r="J23" s="962"/>
      <c r="K23" s="924"/>
      <c r="L23" s="925"/>
      <c r="N23" s="959" t="s">
        <v>1053</v>
      </c>
      <c r="O23" s="947"/>
      <c r="P23" s="947"/>
      <c r="Q23" s="960"/>
      <c r="R23" s="947" t="s">
        <v>1042</v>
      </c>
      <c r="S23" s="961">
        <v>750</v>
      </c>
      <c r="T23" s="919"/>
      <c r="U23" s="585"/>
    </row>
    <row r="24" spans="1:21" ht="18">
      <c r="A24" s="905" t="s">
        <v>1033</v>
      </c>
      <c r="B24" s="906" t="s">
        <v>1034</v>
      </c>
      <c r="C24" s="285" t="s">
        <v>1054</v>
      </c>
      <c r="D24" s="286" t="s">
        <v>1055</v>
      </c>
      <c r="E24" s="998" t="s">
        <v>1056</v>
      </c>
      <c r="F24" s="1012" t="s">
        <v>1057</v>
      </c>
      <c r="G24" s="1013" t="s">
        <v>1058</v>
      </c>
      <c r="H24" s="1014" t="s">
        <v>1059</v>
      </c>
      <c r="I24" s="958">
        <v>10000</v>
      </c>
      <c r="J24" s="1015"/>
      <c r="K24" s="1016">
        <f>ROUND(Table_C184[[#This Row],[기준일 현재 
집행액
(천원)]]/Table_C184[[#This Row],[사업비 예산
(천원)]]*100,2)</f>
        <v>0</v>
      </c>
      <c r="L24" s="958" t="s">
        <v>983</v>
      </c>
      <c r="N24" s="959" t="s">
        <v>1060</v>
      </c>
      <c r="O24" s="947"/>
      <c r="P24" s="947"/>
      <c r="Q24" s="960"/>
      <c r="R24" s="947" t="s">
        <v>852</v>
      </c>
      <c r="S24" s="961">
        <v>27200</v>
      </c>
    </row>
    <row r="25" spans="1:21" ht="18">
      <c r="A25" s="905" t="s">
        <v>1033</v>
      </c>
      <c r="B25" s="906" t="s">
        <v>1034</v>
      </c>
      <c r="C25" s="285" t="s">
        <v>1054</v>
      </c>
      <c r="D25" s="286" t="s">
        <v>1055</v>
      </c>
      <c r="E25" s="998" t="s">
        <v>1056</v>
      </c>
      <c r="F25" s="1012" t="s">
        <v>1057</v>
      </c>
      <c r="G25" s="920"/>
      <c r="H25" s="921"/>
      <c r="I25" s="1017"/>
      <c r="J25" s="1018"/>
      <c r="K25" s="1019"/>
      <c r="L25" s="1020"/>
      <c r="N25" s="959" t="s">
        <v>1061</v>
      </c>
      <c r="O25" s="947"/>
      <c r="P25" s="947"/>
      <c r="Q25" s="960"/>
      <c r="R25" s="947"/>
      <c r="S25" s="961">
        <v>20000</v>
      </c>
    </row>
    <row r="26" spans="1:21" ht="32">
      <c r="A26" s="905" t="s">
        <v>1033</v>
      </c>
      <c r="B26" s="906" t="s">
        <v>1034</v>
      </c>
      <c r="C26" s="285" t="s">
        <v>1054</v>
      </c>
      <c r="D26" s="286" t="s">
        <v>1055</v>
      </c>
      <c r="E26" s="998" t="s">
        <v>1056</v>
      </c>
      <c r="F26" s="1012" t="s">
        <v>1057</v>
      </c>
      <c r="G26" s="920"/>
      <c r="H26" s="921"/>
      <c r="I26" s="1017"/>
      <c r="J26" s="1018"/>
      <c r="K26" s="1019"/>
      <c r="L26" s="1020"/>
      <c r="N26" s="929" t="s">
        <v>1062</v>
      </c>
      <c r="O26" s="934">
        <v>15000</v>
      </c>
      <c r="P26" s="258">
        <v>2321</v>
      </c>
      <c r="Q26" s="674"/>
      <c r="R26" s="258" t="s">
        <v>983</v>
      </c>
      <c r="S26" s="931" t="s">
        <v>1063</v>
      </c>
    </row>
    <row r="27" spans="1:21" ht="29.25" customHeight="1">
      <c r="A27" s="905" t="s">
        <v>1033</v>
      </c>
      <c r="B27" s="906" t="s">
        <v>1034</v>
      </c>
      <c r="C27" s="285" t="s">
        <v>1054</v>
      </c>
      <c r="D27" s="286" t="s">
        <v>1055</v>
      </c>
      <c r="E27" s="998" t="s">
        <v>1056</v>
      </c>
      <c r="F27" s="1012" t="s">
        <v>1057</v>
      </c>
      <c r="G27" s="1021"/>
      <c r="H27" s="1022"/>
      <c r="I27" s="1023"/>
      <c r="J27" s="1018"/>
      <c r="K27" s="1019"/>
      <c r="L27" s="1024"/>
      <c r="N27" s="929" t="s">
        <v>1064</v>
      </c>
      <c r="O27" s="934"/>
      <c r="P27" s="258">
        <v>426</v>
      </c>
      <c r="Q27" s="674"/>
      <c r="R27" s="258" t="s">
        <v>1000</v>
      </c>
      <c r="S27" s="931" t="s">
        <v>1065</v>
      </c>
    </row>
    <row r="28" spans="1:21" ht="18">
      <c r="A28" s="1025" t="s">
        <v>1033</v>
      </c>
      <c r="B28" s="1026" t="s">
        <v>1034</v>
      </c>
      <c r="C28" s="1027" t="s">
        <v>1054</v>
      </c>
      <c r="D28" s="1028" t="s">
        <v>1055</v>
      </c>
      <c r="E28" s="1029" t="s">
        <v>1066</v>
      </c>
      <c r="F28" s="1030" t="s">
        <v>1067</v>
      </c>
      <c r="G28" s="1031" t="s">
        <v>1068</v>
      </c>
      <c r="H28" s="1032" t="s">
        <v>1069</v>
      </c>
      <c r="I28" s="1033">
        <v>40600</v>
      </c>
      <c r="J28" s="1034"/>
      <c r="K28" s="1035">
        <f>ROUND(Table_C184[[#This Row],[기준일 현재 
집행액
(천원)]]/Table_C184[[#This Row],[사업비 예산
(천원)]]*100,2)</f>
        <v>0</v>
      </c>
      <c r="L28" s="1036" t="s">
        <v>983</v>
      </c>
      <c r="N28" s="959" t="s">
        <v>1070</v>
      </c>
      <c r="O28" s="947"/>
      <c r="P28" s="947"/>
      <c r="Q28" s="960"/>
      <c r="R28" s="947" t="s">
        <v>1071</v>
      </c>
      <c r="S28" s="961">
        <v>28500</v>
      </c>
    </row>
    <row r="29" spans="1:21" ht="16">
      <c r="A29" s="750"/>
      <c r="B29" s="259"/>
      <c r="C29" s="750"/>
      <c r="D29" s="259"/>
      <c r="E29" s="750"/>
      <c r="F29" s="751"/>
      <c r="G29" s="752"/>
      <c r="H29" s="753" t="s">
        <v>1072</v>
      </c>
      <c r="I29" s="754">
        <f>SUM(Table_C184[사업비 예산
(천원)])</f>
        <v>390000</v>
      </c>
      <c r="J29" s="754">
        <f>SUM(J3:J28)</f>
        <v>27655</v>
      </c>
      <c r="K29" s="755">
        <f>ROUND(J29/I29*100,2)</f>
        <v>7.09</v>
      </c>
      <c r="L29" s="756"/>
      <c r="M29" s="639"/>
      <c r="N29" s="757" t="s">
        <v>1073</v>
      </c>
      <c r="O29" s="1037">
        <f>SUM(O3:O28)</f>
        <v>83000</v>
      </c>
      <c r="P29" s="1038">
        <f>SUM(P3:P28)</f>
        <v>8070</v>
      </c>
      <c r="Q29" s="755">
        <f>ROUND(P29/O29*100,2)</f>
        <v>9.7200000000000006</v>
      </c>
      <c r="R29" s="639"/>
      <c r="S29" s="901">
        <f>SUM(S3:S28)</f>
        <v>475460</v>
      </c>
      <c r="T29" s="919"/>
    </row>
    <row r="30" spans="1:21">
      <c r="A30" s="760"/>
      <c r="B30" s="761"/>
      <c r="C30" s="760"/>
      <c r="D30" s="761"/>
      <c r="E30" s="760"/>
      <c r="F30" s="762"/>
      <c r="G30" s="763"/>
      <c r="H30" s="764"/>
      <c r="I30" s="765"/>
      <c r="J30" s="765"/>
      <c r="K30" s="766"/>
      <c r="L30" s="767"/>
      <c r="N30" s="768"/>
      <c r="O30" s="585"/>
      <c r="P30" s="585"/>
      <c r="Q30" s="770"/>
      <c r="T30" s="919"/>
    </row>
    <row r="31" spans="1:21" ht="16.5" customHeight="1">
      <c r="A31" s="772" t="s">
        <v>899</v>
      </c>
      <c r="N31" s="868" t="s">
        <v>1074</v>
      </c>
      <c r="O31" s="1039">
        <v>27600</v>
      </c>
      <c r="R31" s="580" t="s">
        <v>1075</v>
      </c>
      <c r="S31" s="1040">
        <v>27603604</v>
      </c>
      <c r="T31" s="919"/>
    </row>
    <row r="32" spans="1:21" ht="16.5" customHeight="1">
      <c r="A32" s="772" t="s">
        <v>900</v>
      </c>
      <c r="N32" s="1041" t="s">
        <v>1076</v>
      </c>
      <c r="O32" s="1042">
        <v>12600</v>
      </c>
      <c r="R32" s="580" t="s">
        <v>1077</v>
      </c>
      <c r="S32" s="902">
        <v>94000000</v>
      </c>
      <c r="T32" s="919"/>
    </row>
    <row r="33" spans="11:20" ht="16.5" customHeight="1">
      <c r="K33" s="1043"/>
      <c r="N33" s="1044" t="s">
        <v>1078</v>
      </c>
      <c r="O33" s="1045">
        <v>300</v>
      </c>
      <c r="Q33" s="1046"/>
      <c r="R33" s="580" t="s">
        <v>1079</v>
      </c>
      <c r="S33" s="1040">
        <v>12567760</v>
      </c>
      <c r="T33" s="919"/>
    </row>
    <row r="34" spans="11:20" ht="16.5" customHeight="1">
      <c r="N34" s="1047" t="s">
        <v>1080</v>
      </c>
      <c r="O34" s="1048">
        <v>5900</v>
      </c>
      <c r="P34" s="1046"/>
      <c r="R34" s="580" t="s">
        <v>1081</v>
      </c>
      <c r="S34" s="1040">
        <v>18750000</v>
      </c>
      <c r="T34" s="919"/>
    </row>
    <row r="35" spans="11:20" ht="16.5" customHeight="1">
      <c r="N35" s="584" t="s">
        <v>1081</v>
      </c>
      <c r="O35" s="1039">
        <v>18750</v>
      </c>
      <c r="T35" s="919"/>
    </row>
    <row r="36" spans="11:20" ht="16.5" customHeight="1">
      <c r="N36" s="589"/>
      <c r="O36" s="781">
        <f>SUM(O29,O33,O34,O31,O32,O35,S29)</f>
        <v>623610</v>
      </c>
      <c r="P36" s="585"/>
      <c r="T36" s="919"/>
    </row>
    <row r="37" spans="11:20" ht="16.5" customHeight="1">
      <c r="N37" s="581" t="s">
        <v>763</v>
      </c>
      <c r="O37" s="582">
        <v>625000</v>
      </c>
      <c r="P37" s="585"/>
    </row>
    <row r="38" spans="11:20" ht="16.5" customHeight="1">
      <c r="N38" s="581" t="s">
        <v>765</v>
      </c>
      <c r="O38" s="582">
        <v>530000</v>
      </c>
      <c r="Q38" s="585"/>
    </row>
    <row r="39" spans="11:20" ht="16.5" customHeight="1">
      <c r="N39" s="581" t="s">
        <v>767</v>
      </c>
      <c r="O39" s="582">
        <v>94000</v>
      </c>
      <c r="Q39" s="585"/>
    </row>
    <row r="40" spans="11:20" ht="16.5" customHeight="1">
      <c r="Q40" s="1046"/>
    </row>
    <row r="41" spans="11:20" ht="16.5" customHeight="1">
      <c r="Q41" s="585"/>
    </row>
    <row r="42" spans="11:20" ht="16.5" customHeight="1"/>
    <row r="43" spans="11:20" ht="16.5" customHeight="1"/>
    <row r="44" spans="11:20" ht="16.5" customHeight="1"/>
    <row r="45" spans="11:20" ht="16.5" customHeight="1"/>
    <row r="46" spans="11:20" ht="16.5" customHeight="1"/>
    <row r="47" spans="11:20" ht="16.5" customHeight="1"/>
    <row r="48" spans="11:20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</sheetData>
  <mergeCells count="2">
    <mergeCell ref="G1:L1"/>
    <mergeCell ref="N1:R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A1-가</vt:lpstr>
      <vt:lpstr>A1-나</vt:lpstr>
      <vt:lpstr>A2</vt:lpstr>
      <vt:lpstr>A3</vt:lpstr>
      <vt:lpstr>B1</vt:lpstr>
      <vt:lpstr>B2</vt:lpstr>
      <vt:lpstr>B3</vt:lpstr>
      <vt:lpstr>B4</vt:lpstr>
      <vt:lpstr>C1</vt:lpstr>
      <vt:lpstr>C2</vt:lpstr>
      <vt:lpstr>D1</vt:lpstr>
      <vt:lpstr>D2</vt:lpstr>
      <vt:lpstr>D3</vt:lpstr>
      <vt:lpstr>'A1-가'!Print_Area</vt:lpstr>
      <vt:lpstr>'C1'!Print_Area</vt:lpstr>
      <vt:lpstr>'D1'!Print_Area</vt:lpstr>
      <vt:lpstr>'D3'!Print_Area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Hyun Soo Kim</dc:creator>
  <cp:keywords/>
  <dc:description/>
  <cp:lastModifiedBy>Kyoung-Young Song</cp:lastModifiedBy>
  <cp:revision/>
  <cp:lastPrinted>2026-05-19T06:25:10Z</cp:lastPrinted>
  <dcterms:created xsi:type="dcterms:W3CDTF">2026-02-19T02:17:32Z</dcterms:created>
  <dcterms:modified xsi:type="dcterms:W3CDTF">2026-06-29T11:57:50Z</dcterms:modified>
  <cp:category/>
  <cp:contentStatus/>
</cp:coreProperties>
</file>